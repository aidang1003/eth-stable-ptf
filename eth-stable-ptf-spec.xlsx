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aidang\sandbox\eth-stable-ptf\"/>
    </mc:Choice>
  </mc:AlternateContent>
  <xr:revisionPtr revIDLastSave="0" documentId="13_ncr:1_{94C5BF21-4378-4A02-9511-948F66D07902}" xr6:coauthVersionLast="47" xr6:coauthVersionMax="47" xr10:uidLastSave="{00000000-0000-0000-0000-000000000000}"/>
  <bookViews>
    <workbookView xWindow="-108" yWindow="-108" windowWidth="23256" windowHeight="13896" xr2:uid="{967D1B4A-C299-4DB8-8FDB-C138991AF08A}"/>
  </bookViews>
  <sheets>
    <sheet name="Portfolio Balancing (8k)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8" l="1"/>
  <c r="P1" i="8"/>
  <c r="A75" i="8"/>
  <c r="B75" i="8" s="1"/>
  <c r="D2" i="8"/>
  <c r="C2" i="8"/>
  <c r="A74" i="8" l="1"/>
  <c r="A73" i="8" s="1"/>
  <c r="A72" i="8" s="1"/>
  <c r="A71" i="8" s="1"/>
  <c r="A70" i="8" s="1"/>
  <c r="A69" i="8" s="1"/>
  <c r="A68" i="8" s="1"/>
  <c r="A67" i="8" s="1"/>
  <c r="A66" i="8" s="1"/>
  <c r="A65" i="8" s="1"/>
  <c r="A64" i="8" s="1"/>
  <c r="A63" i="8" s="1"/>
  <c r="A62" i="8" s="1"/>
  <c r="A61" i="8" s="1"/>
  <c r="A60" i="8" s="1"/>
  <c r="A59" i="8" s="1"/>
  <c r="A58" i="8" s="1"/>
  <c r="A57" i="8" s="1"/>
  <c r="A56" i="8" s="1"/>
  <c r="A55" i="8" s="1"/>
  <c r="A54" i="8" s="1"/>
  <c r="A53" i="8" s="1"/>
  <c r="A52" i="8" s="1"/>
  <c r="A51" i="8" s="1"/>
  <c r="A50" i="8" s="1"/>
  <c r="A49" i="8" s="1"/>
  <c r="A48" i="8" s="1"/>
  <c r="A47" i="8" s="1"/>
  <c r="A46" i="8" s="1"/>
  <c r="A45" i="8" s="1"/>
  <c r="A44" i="8" s="1"/>
  <c r="A43" i="8" s="1"/>
  <c r="A42" i="8" s="1"/>
  <c r="D75" i="8"/>
  <c r="C75" i="8"/>
  <c r="A41" i="8" l="1"/>
  <c r="D41" i="8" s="1"/>
  <c r="A40" i="8" l="1"/>
  <c r="A39" i="8" s="1"/>
  <c r="A38" i="8" s="1"/>
  <c r="A37" i="8" s="1"/>
  <c r="A36" i="8" l="1"/>
  <c r="A35" i="8" s="1"/>
  <c r="A34" i="8" s="1"/>
  <c r="B37" i="8"/>
  <c r="A33" i="8" l="1"/>
  <c r="A32" i="8" s="1"/>
  <c r="A31" i="8" s="1"/>
  <c r="A30" i="8" s="1"/>
  <c r="A29" i="8" s="1"/>
  <c r="A28" i="8" s="1"/>
  <c r="A27" i="8" s="1"/>
  <c r="A26" i="8" s="1"/>
  <c r="A25" i="8" s="1"/>
  <c r="A24" i="8" s="1"/>
  <c r="B34" i="8"/>
  <c r="A23" i="8" l="1"/>
  <c r="A22" i="8" s="1"/>
  <c r="A21" i="8" s="1"/>
  <c r="A20" i="8" s="1"/>
  <c r="A19" i="8" s="1"/>
  <c r="A18" i="8" s="1"/>
  <c r="A17" i="8" s="1"/>
  <c r="A16" i="8" s="1"/>
  <c r="A15" i="8" s="1"/>
  <c r="A14" i="8" s="1"/>
  <c r="A13" i="8" s="1"/>
  <c r="A12" i="8" s="1"/>
  <c r="A11" i="8" s="1"/>
  <c r="A10" i="8" s="1"/>
  <c r="A9" i="8" s="1"/>
  <c r="A8" i="8" s="1"/>
  <c r="B24" i="8"/>
  <c r="C9" i="8" l="1"/>
  <c r="B9" i="8"/>
  <c r="E9" i="8" s="1"/>
  <c r="D9" i="8"/>
  <c r="A7" i="8"/>
  <c r="B8" i="8"/>
  <c r="D8" i="8"/>
  <c r="C8" i="8"/>
  <c r="C10" i="8"/>
  <c r="D10" i="8"/>
  <c r="B10" i="8"/>
  <c r="F10" i="8" l="1"/>
  <c r="F9" i="8"/>
  <c r="G9" i="8"/>
  <c r="A6" i="8"/>
  <c r="C7" i="8"/>
  <c r="F8" i="8" s="1"/>
  <c r="B7" i="8"/>
  <c r="E8" i="8" s="1"/>
  <c r="D7" i="8"/>
  <c r="G8" i="8" s="1"/>
  <c r="B11" i="8"/>
  <c r="D11" i="8"/>
  <c r="C11" i="8"/>
  <c r="G10" i="8"/>
  <c r="E10" i="8"/>
  <c r="A5" i="8" l="1"/>
  <c r="B6" i="8"/>
  <c r="E7" i="8" s="1"/>
  <c r="C6" i="8"/>
  <c r="F7" i="8" s="1"/>
  <c r="D6" i="8"/>
  <c r="G7" i="8" s="1"/>
  <c r="D12" i="8"/>
  <c r="G12" i="8" s="1"/>
  <c r="B12" i="8"/>
  <c r="E12" i="8" s="1"/>
  <c r="C12" i="8"/>
  <c r="F12" i="8" s="1"/>
  <c r="F11" i="8"/>
  <c r="G11" i="8"/>
  <c r="E11" i="8"/>
  <c r="A4" i="8" l="1"/>
  <c r="D5" i="8"/>
  <c r="G6" i="8" s="1"/>
  <c r="C5" i="8"/>
  <c r="F6" i="8" s="1"/>
  <c r="B5" i="8"/>
  <c r="E6" i="8" s="1"/>
  <c r="B13" i="8"/>
  <c r="C13" i="8"/>
  <c r="D13" i="8"/>
  <c r="G13" i="8" s="1"/>
  <c r="A3" i="8" l="1"/>
  <c r="B4" i="8"/>
  <c r="E5" i="8" s="1"/>
  <c r="C4" i="8"/>
  <c r="F5" i="8" s="1"/>
  <c r="D4" i="8"/>
  <c r="G5" i="8" s="1"/>
  <c r="D14" i="8"/>
  <c r="G14" i="8" s="1"/>
  <c r="C14" i="8"/>
  <c r="F14" i="8" s="1"/>
  <c r="B14" i="8"/>
  <c r="E14" i="8" s="1"/>
  <c r="E13" i="8"/>
  <c r="F13" i="8"/>
  <c r="B3" i="8" l="1"/>
  <c r="D3" i="8"/>
  <c r="C3" i="8"/>
  <c r="B15" i="8"/>
  <c r="E15" i="8" s="1"/>
  <c r="C15" i="8"/>
  <c r="F15" i="8" s="1"/>
  <c r="D15" i="8"/>
  <c r="G15" i="8" s="1"/>
  <c r="F4" i="8" l="1"/>
  <c r="F3" i="8"/>
  <c r="G3" i="8"/>
  <c r="G4" i="8"/>
  <c r="E4" i="8"/>
  <c r="E3" i="8"/>
  <c r="B16" i="8"/>
  <c r="E16" i="8" s="1"/>
  <c r="D16" i="8"/>
  <c r="C16" i="8"/>
  <c r="C17" i="8" l="1"/>
  <c r="F17" i="8" s="1"/>
  <c r="D17" i="8"/>
  <c r="G17" i="8" s="1"/>
  <c r="B17" i="8"/>
  <c r="G16" i="8"/>
  <c r="F16" i="8"/>
  <c r="B18" i="8" l="1"/>
  <c r="C18" i="8"/>
  <c r="F18" i="8" s="1"/>
  <c r="D18" i="8"/>
  <c r="G18" i="8" s="1"/>
  <c r="E18" i="8"/>
  <c r="E17" i="8"/>
  <c r="D19" i="8" l="1"/>
  <c r="B19" i="8"/>
  <c r="E19" i="8" s="1"/>
  <c r="C19" i="8"/>
  <c r="D20" i="8" l="1"/>
  <c r="C20" i="8"/>
  <c r="B20" i="8"/>
  <c r="E20" i="8" s="1"/>
  <c r="G20" i="8"/>
  <c r="F20" i="8"/>
  <c r="F19" i="8"/>
  <c r="G19" i="8"/>
  <c r="D21" i="8" l="1"/>
  <c r="B21" i="8"/>
  <c r="C21" i="8"/>
  <c r="O2" i="8" l="1"/>
  <c r="Q2" i="8"/>
  <c r="P2" i="8"/>
  <c r="G21" i="8"/>
  <c r="C22" i="8"/>
  <c r="F22" i="8" s="1"/>
  <c r="B22" i="8"/>
  <c r="D22" i="8"/>
  <c r="E21" i="8"/>
  <c r="E22" i="8"/>
  <c r="F21" i="8"/>
  <c r="G22" i="8" l="1"/>
  <c r="B23" i="8"/>
  <c r="E23" i="8" s="1"/>
  <c r="C23" i="8"/>
  <c r="D23" i="8"/>
  <c r="G23" i="8" s="1"/>
  <c r="D24" i="8" l="1"/>
  <c r="G24" i="8" s="1"/>
  <c r="C24" i="8"/>
  <c r="F24" i="8" s="1"/>
  <c r="F23" i="8"/>
  <c r="E24" i="8" l="1"/>
  <c r="D25" i="8"/>
  <c r="G25" i="8" s="1"/>
  <c r="C25" i="8"/>
  <c r="F25" i="8" s="1"/>
  <c r="B25" i="8"/>
  <c r="E25" i="8" s="1"/>
  <c r="B26" i="8" l="1"/>
  <c r="D26" i="8"/>
  <c r="C26" i="8"/>
  <c r="F26" i="8" s="1"/>
  <c r="B27" i="8" l="1"/>
  <c r="D27" i="8"/>
  <c r="G27" i="8" s="1"/>
  <c r="C27" i="8"/>
  <c r="G26" i="8"/>
  <c r="E26" i="8"/>
  <c r="E27" i="8" l="1"/>
  <c r="B28" i="8"/>
  <c r="E28" i="8" s="1"/>
  <c r="D28" i="8"/>
  <c r="G28" i="8" s="1"/>
  <c r="C28" i="8"/>
  <c r="F28" i="8" s="1"/>
  <c r="F27" i="8"/>
  <c r="B29" i="8" l="1"/>
  <c r="E29" i="8" s="1"/>
  <c r="D29" i="8"/>
  <c r="C29" i="8"/>
  <c r="F29" i="8" s="1"/>
  <c r="G29" i="8" l="1"/>
  <c r="C30" i="8"/>
  <c r="F30" i="8" s="1"/>
  <c r="B30" i="8"/>
  <c r="E30" i="8" s="1"/>
  <c r="D30" i="8"/>
  <c r="G30" i="8" s="1"/>
  <c r="C31" i="8" l="1"/>
  <c r="B31" i="8"/>
  <c r="D31" i="8"/>
  <c r="G31" i="8" s="1"/>
  <c r="C32" i="8" l="1"/>
  <c r="B32" i="8"/>
  <c r="D32" i="8"/>
  <c r="E32" i="8"/>
  <c r="E31" i="8"/>
  <c r="F31" i="8"/>
  <c r="F32" i="8"/>
  <c r="G32" i="8" l="1"/>
  <c r="D33" i="8"/>
  <c r="C33" i="8"/>
  <c r="F33" i="8" s="1"/>
  <c r="B33" i="8"/>
  <c r="E33" i="8" s="1"/>
  <c r="D34" i="8" l="1"/>
  <c r="C34" i="8"/>
  <c r="F34" i="8" s="1"/>
  <c r="E34" i="8"/>
  <c r="G34" i="8"/>
  <c r="G33" i="8"/>
  <c r="C35" i="8" l="1"/>
  <c r="B35" i="8"/>
  <c r="E35" i="8" s="1"/>
  <c r="D35" i="8"/>
  <c r="G35" i="8" s="1"/>
  <c r="C36" i="8" l="1"/>
  <c r="B36" i="8"/>
  <c r="E36" i="8" s="1"/>
  <c r="D36" i="8"/>
  <c r="G36" i="8" s="1"/>
  <c r="F36" i="8"/>
  <c r="F35" i="8"/>
  <c r="C37" i="8" l="1"/>
  <c r="F37" i="8" s="1"/>
  <c r="D37" i="8"/>
  <c r="G37" i="8" s="1"/>
  <c r="E37" i="8"/>
  <c r="B38" i="8" l="1"/>
  <c r="C38" i="8"/>
  <c r="F38" i="8" s="1"/>
  <c r="D38" i="8"/>
  <c r="G38" i="8" l="1"/>
  <c r="B39" i="8"/>
  <c r="D39" i="8"/>
  <c r="C39" i="8"/>
  <c r="E38" i="8"/>
  <c r="E39" i="8" l="1"/>
  <c r="F39" i="8"/>
  <c r="D40" i="8"/>
  <c r="C40" i="8"/>
  <c r="B40" i="8"/>
  <c r="G39" i="8"/>
  <c r="E40" i="8" l="1"/>
  <c r="O3" i="8"/>
  <c r="Q3" i="8"/>
  <c r="F40" i="8"/>
  <c r="P3" i="8"/>
  <c r="G40" i="8"/>
  <c r="B41" i="8"/>
  <c r="E41" i="8" s="1"/>
  <c r="C41" i="8"/>
  <c r="F41" i="8" l="1"/>
  <c r="C42" i="8"/>
  <c r="F42" i="8" s="1"/>
  <c r="D42" i="8"/>
  <c r="G42" i="8" s="1"/>
  <c r="B42" i="8"/>
  <c r="E42" i="8" s="1"/>
  <c r="G41" i="8"/>
  <c r="D43" i="8" l="1"/>
  <c r="G43" i="8" s="1"/>
  <c r="B43" i="8"/>
  <c r="E43" i="8" s="1"/>
  <c r="C43" i="8"/>
  <c r="F43" i="8" s="1"/>
  <c r="D44" i="8" l="1"/>
  <c r="G44" i="8" s="1"/>
  <c r="C44" i="8"/>
  <c r="F44" i="8" s="1"/>
  <c r="B44" i="8"/>
  <c r="E44" i="8" s="1"/>
  <c r="B45" i="8" l="1"/>
  <c r="C45" i="8"/>
  <c r="F45" i="8" s="1"/>
  <c r="D45" i="8"/>
  <c r="C46" i="8" l="1"/>
  <c r="F46" i="8" s="1"/>
  <c r="B46" i="8"/>
  <c r="D46" i="8"/>
  <c r="G46" i="8" s="1"/>
  <c r="G45" i="8"/>
  <c r="E46" i="8"/>
  <c r="E45" i="8"/>
  <c r="C47" i="8" l="1"/>
  <c r="F47" i="8" s="1"/>
  <c r="B47" i="8"/>
  <c r="E47" i="8" s="1"/>
  <c r="D47" i="8"/>
  <c r="G47" i="8" s="1"/>
  <c r="D48" i="8" l="1"/>
  <c r="G48" i="8" s="1"/>
  <c r="B48" i="8"/>
  <c r="C48" i="8"/>
  <c r="F48" i="8" s="1"/>
  <c r="E48" i="8" l="1"/>
  <c r="D49" i="8"/>
  <c r="C49" i="8"/>
  <c r="B49" i="8"/>
  <c r="F49" i="8" l="1"/>
  <c r="G49" i="8"/>
  <c r="D50" i="8"/>
  <c r="B50" i="8"/>
  <c r="C50" i="8"/>
  <c r="E49" i="8"/>
  <c r="E50" i="8" l="1"/>
  <c r="O4" i="8"/>
  <c r="Q4" i="8"/>
  <c r="F50" i="8"/>
  <c r="P4" i="8"/>
  <c r="G50" i="8"/>
  <c r="D51" i="8"/>
  <c r="B51" i="8"/>
  <c r="E51" i="8" s="1"/>
  <c r="C51" i="8"/>
  <c r="F51" i="8" s="1"/>
  <c r="B52" i="8" l="1"/>
  <c r="E52" i="8" s="1"/>
  <c r="C52" i="8"/>
  <c r="F52" i="8" s="1"/>
  <c r="D52" i="8"/>
  <c r="G52" i="8" s="1"/>
  <c r="G51" i="8"/>
  <c r="C53" i="8" l="1"/>
  <c r="F53" i="8" s="1"/>
  <c r="D53" i="8"/>
  <c r="G53" i="8" s="1"/>
  <c r="B53" i="8"/>
  <c r="E53" i="8" s="1"/>
  <c r="B54" i="8" l="1"/>
  <c r="E54" i="8" s="1"/>
  <c r="D54" i="8"/>
  <c r="G54" i="8" s="1"/>
  <c r="C54" i="8"/>
  <c r="C55" i="8" l="1"/>
  <c r="B55" i="8"/>
  <c r="E55" i="8" s="1"/>
  <c r="D55" i="8"/>
  <c r="G55" i="8" s="1"/>
  <c r="F55" i="8"/>
  <c r="F54" i="8"/>
  <c r="D56" i="8" l="1"/>
  <c r="C56" i="8"/>
  <c r="B56" i="8"/>
  <c r="D57" i="8" l="1"/>
  <c r="G57" i="8" s="1"/>
  <c r="C57" i="8"/>
  <c r="F57" i="8" s="1"/>
  <c r="B57" i="8"/>
  <c r="E57" i="8" s="1"/>
  <c r="G56" i="8"/>
  <c r="E56" i="8"/>
  <c r="F56" i="8"/>
  <c r="D58" i="8" l="1"/>
  <c r="B58" i="8"/>
  <c r="C58" i="8"/>
  <c r="E58" i="8" l="1"/>
  <c r="O5" i="8"/>
  <c r="G58" i="8"/>
  <c r="Q5" i="8"/>
  <c r="F58" i="8"/>
  <c r="P5" i="8"/>
  <c r="B59" i="8"/>
  <c r="E59" i="8" s="1"/>
  <c r="C59" i="8"/>
  <c r="F59" i="8" s="1"/>
  <c r="D59" i="8"/>
  <c r="G59" i="8" s="1"/>
  <c r="C60" i="8" l="1"/>
  <c r="F60" i="8" s="1"/>
  <c r="B60" i="8"/>
  <c r="E60" i="8" s="1"/>
  <c r="D60" i="8"/>
  <c r="G60" i="8" s="1"/>
  <c r="B61" i="8" l="1"/>
  <c r="D61" i="8"/>
  <c r="C61" i="8"/>
  <c r="F61" i="8" s="1"/>
  <c r="D62" i="8" l="1"/>
  <c r="B62" i="8"/>
  <c r="C62" i="8"/>
  <c r="G61" i="8"/>
  <c r="E62" i="8"/>
  <c r="E61" i="8"/>
  <c r="G62" i="8" l="1"/>
  <c r="C63" i="8"/>
  <c r="F63" i="8" s="1"/>
  <c r="D63" i="8"/>
  <c r="G63" i="8" s="1"/>
  <c r="B63" i="8"/>
  <c r="E63" i="8" s="1"/>
  <c r="F62" i="8"/>
  <c r="D64" i="8" l="1"/>
  <c r="B64" i="8"/>
  <c r="C64" i="8"/>
  <c r="E64" i="8" l="1"/>
  <c r="O6" i="8"/>
  <c r="G64" i="8"/>
  <c r="Q6" i="8"/>
  <c r="F64" i="8"/>
  <c r="P6" i="8"/>
  <c r="C65" i="8"/>
  <c r="D65" i="8"/>
  <c r="G65" i="8" s="1"/>
  <c r="B65" i="8"/>
  <c r="E65" i="8" l="1"/>
  <c r="C66" i="8"/>
  <c r="B66" i="8"/>
  <c r="E66" i="8" s="1"/>
  <c r="D66" i="8"/>
  <c r="G66" i="8" s="1"/>
  <c r="F65" i="8"/>
  <c r="F66" i="8"/>
  <c r="D67" i="8" l="1"/>
  <c r="G67" i="8" s="1"/>
  <c r="B67" i="8"/>
  <c r="E67" i="8" s="1"/>
  <c r="C67" i="8"/>
  <c r="F67" i="8" l="1"/>
  <c r="D68" i="8"/>
  <c r="C68" i="8"/>
  <c r="B68" i="8"/>
  <c r="G68" i="8"/>
  <c r="E68" i="8" l="1"/>
  <c r="O7" i="8"/>
  <c r="Q7" i="8"/>
  <c r="F68" i="8"/>
  <c r="P7" i="8"/>
  <c r="C69" i="8"/>
  <c r="F69" i="8" s="1"/>
  <c r="B69" i="8"/>
  <c r="E69" i="8" s="1"/>
  <c r="D69" i="8"/>
  <c r="G69" i="8" s="1"/>
  <c r="B70" i="8" l="1"/>
  <c r="E70" i="8" s="1"/>
  <c r="C70" i="8"/>
  <c r="F70" i="8" s="1"/>
  <c r="D70" i="8"/>
  <c r="G70" i="8" s="1"/>
  <c r="D71" i="8" l="1"/>
  <c r="C71" i="8"/>
  <c r="B71" i="8"/>
  <c r="E71" i="8" l="1"/>
  <c r="F71" i="8"/>
  <c r="G71" i="8"/>
  <c r="C72" i="8"/>
  <c r="D72" i="8"/>
  <c r="B72" i="8"/>
  <c r="D74" i="8"/>
  <c r="C74" i="8"/>
  <c r="B74" i="8"/>
  <c r="O9" i="8" l="1"/>
  <c r="O8" i="8"/>
  <c r="G72" i="8"/>
  <c r="Q9" i="8"/>
  <c r="Q8" i="8"/>
  <c r="F72" i="8"/>
  <c r="P9" i="8"/>
  <c r="P8" i="8"/>
  <c r="F75" i="8"/>
  <c r="E75" i="8"/>
  <c r="G75" i="8"/>
  <c r="B73" i="8"/>
  <c r="E74" i="8" s="1"/>
  <c r="D73" i="8"/>
  <c r="G73" i="8" s="1"/>
  <c r="C73" i="8"/>
  <c r="F73" i="8" s="1"/>
  <c r="E73" i="8"/>
  <c r="E72" i="8"/>
  <c r="O11" i="8" l="1"/>
  <c r="G74" i="8"/>
  <c r="Q11" i="8"/>
  <c r="O10" i="8"/>
  <c r="Q10" i="8"/>
  <c r="P10" i="8"/>
  <c r="F74" i="8"/>
  <c r="P11" i="8" s="1"/>
</calcChain>
</file>

<file path=xl/sharedStrings.xml><?xml version="1.0" encoding="utf-8"?>
<sst xmlns="http://schemas.openxmlformats.org/spreadsheetml/2006/main" count="9" uniqueCount="9">
  <si>
    <t>Eth Price (p)</t>
  </si>
  <si>
    <t>Max (m)</t>
  </si>
  <si>
    <t>Factor (f)</t>
  </si>
  <si>
    <t>SUM</t>
  </si>
  <si>
    <t>Coverage</t>
  </si>
  <si>
    <t>Min (n)</t>
  </si>
  <si>
    <t>Profit from 1 ETH</t>
  </si>
  <si>
    <t>Rebalance Percentage</t>
  </si>
  <si>
    <t>sDesiredAllocationPercentage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</si>
</sst>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1">
    <xf numFmtId="0" fontId="0" fillId="0" borderId="0" xfId="0"/>
    <xf numFmtId="0" fontId="1" fillId="2" borderId="1" xfId="1"/>
    <xf numFmtId="0" fontId="0" fillId="0" borderId="0" xfId="0" applyAlignment="1">
      <alignment horizontal="right"/>
    </xf>
    <xf numFmtId="10" fontId="0" fillId="0" borderId="0" xfId="2" applyNumberFormat="1" applyFont="1"/>
    <xf numFmtId="2" fontId="0" fillId="0" borderId="0" xfId="0" applyNumberFormat="1"/>
    <xf numFmtId="10" fontId="0" fillId="0" borderId="0" xfId="0" applyNumberFormat="1"/>
    <xf numFmtId="44" fontId="0" fillId="0" borderId="0" xfId="3" applyFont="1"/>
    <xf numFmtId="9" fontId="0" fillId="0" borderId="0" xfId="0" applyNumberFormat="1"/>
    <xf numFmtId="0" fontId="0" fillId="0" borderId="0" xfId="0" applyAlignment="1">
      <alignment horizontal="center"/>
    </xf>
    <xf numFmtId="9" fontId="1" fillId="2" borderId="1" xfId="1" applyNumberFormat="1"/>
    <xf numFmtId="0" fontId="0" fillId="0" borderId="0" xfId="0" applyAlignment="1">
      <alignment horizontal="center"/>
    </xf>
  </cellXfs>
  <cellStyles count="4">
    <cellStyle name="Currency" xfId="3" builtinId="4"/>
    <cellStyle name="Input" xfId="1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05E0E-DBDB-433E-872A-D127068B7AA9}">
  <dimension ref="A1:Q142"/>
  <sheetViews>
    <sheetView tabSelected="1" workbookViewId="0">
      <selection activeCell="I8" sqref="I8"/>
    </sheetView>
  </sheetViews>
  <sheetFormatPr defaultRowHeight="14.4" x14ac:dyDescent="0.3"/>
  <cols>
    <col min="1" max="1" width="19.21875" bestFit="1" customWidth="1"/>
    <col min="2" max="2" width="12.88671875" customWidth="1"/>
    <col min="3" max="3" width="11.21875" customWidth="1"/>
    <col min="4" max="4" width="11.5546875" customWidth="1"/>
    <col min="5" max="5" width="11.109375" bestFit="1" customWidth="1"/>
    <col min="6" max="7" width="10.109375" bestFit="1" customWidth="1"/>
    <col min="8" max="8" width="9.21875" bestFit="1" customWidth="1"/>
    <col min="9" max="9" width="19.21875" bestFit="1" customWidth="1"/>
    <col min="10" max="13" width="10.109375" bestFit="1" customWidth="1"/>
    <col min="14" max="14" width="15.21875" bestFit="1" customWidth="1"/>
    <col min="15" max="17" width="10.109375" bestFit="1" customWidth="1"/>
  </cols>
  <sheetData>
    <row r="1" spans="1:17" x14ac:dyDescent="0.3">
      <c r="A1" s="2" t="s">
        <v>0</v>
      </c>
      <c r="B1" s="10" t="s">
        <v>8</v>
      </c>
      <c r="C1" s="10"/>
      <c r="D1" s="10"/>
      <c r="I1" s="8" t="s">
        <v>7</v>
      </c>
      <c r="J1" s="9">
        <v>0.04</v>
      </c>
      <c r="N1" t="s">
        <v>4</v>
      </c>
      <c r="O1">
        <v>2</v>
      </c>
      <c r="P1">
        <f>K4</f>
        <v>1.5</v>
      </c>
      <c r="Q1">
        <v>1</v>
      </c>
    </row>
    <row r="2" spans="1:17" x14ac:dyDescent="0.3">
      <c r="A2">
        <v>0</v>
      </c>
      <c r="B2" s="3">
        <f>IF($A2 &lt; $J$2, 1, 1 - ((($A2-$J$2)/($J$3-$J$2)) ^ J$4))</f>
        <v>1</v>
      </c>
      <c r="C2" s="3">
        <f>IF($A2 &lt; $J$2, 1, 1 - ((($A2-$J$2)/($J$3-$J$2)) ^ K$4))</f>
        <v>1</v>
      </c>
      <c r="D2" s="3">
        <f>IF($A2 &lt; $J$2, 1, 1 - ((($A2-$J$2)/($J$3-$J$2)) ^ L$4))</f>
        <v>1</v>
      </c>
      <c r="E2" s="5"/>
      <c r="I2" s="8" t="s">
        <v>5</v>
      </c>
      <c r="J2" s="1">
        <v>1000</v>
      </c>
      <c r="N2">
        <v>1</v>
      </c>
      <c r="O2" s="7">
        <f>B$2-B21</f>
        <v>0</v>
      </c>
      <c r="P2" s="7">
        <f>C$2-C21</f>
        <v>0</v>
      </c>
      <c r="Q2" s="7">
        <f>D$2-D21</f>
        <v>0</v>
      </c>
    </row>
    <row r="3" spans="1:17" x14ac:dyDescent="0.3">
      <c r="A3" s="4">
        <f>A4 / (1+ $J$1)</f>
        <v>474.99556807643705</v>
      </c>
      <c r="B3" s="3">
        <f>IF($A3 &lt; $J$2, 1, 1 - ((($A3-$J$2)/($J$3-$J$2)) ^ J$4))</f>
        <v>1</v>
      </c>
      <c r="C3" s="3">
        <f>IF($A3 &lt; $J$2, 1, 1 - ((($A3-$J$2)/($J$3-$J$2)) ^ K$4))</f>
        <v>1</v>
      </c>
      <c r="D3" s="3">
        <f>IF($A3 &lt; $J$2, 1, 1 - ((($A3-$J$2)/($J$3-$J$2)) ^ L$4))</f>
        <v>1</v>
      </c>
      <c r="E3" s="6">
        <f>(B2-B3) * $A3</f>
        <v>0</v>
      </c>
      <c r="F3" s="6">
        <f t="shared" ref="F3:G18" si="0">(C2-C3) * $A3</f>
        <v>0</v>
      </c>
      <c r="G3" s="6">
        <f>(D2-D3) * $A3</f>
        <v>0</v>
      </c>
      <c r="I3" s="8" t="s">
        <v>1</v>
      </c>
      <c r="J3" s="1">
        <v>8000</v>
      </c>
      <c r="N3">
        <v>2</v>
      </c>
      <c r="O3" s="7">
        <f>B$21-B$40</f>
        <v>2.1538655506431525E-2</v>
      </c>
      <c r="P3" s="7">
        <f>C$21-C$40</f>
        <v>5.6222990576467513E-2</v>
      </c>
      <c r="Q3" s="7">
        <f>D$21-D$40</f>
        <v>0.14676053797404642</v>
      </c>
    </row>
    <row r="4" spans="1:17" x14ac:dyDescent="0.3">
      <c r="A4" s="4">
        <f>A5 / (1+ $J$1)</f>
        <v>493.99539079949454</v>
      </c>
      <c r="B4" s="3">
        <f>IF($A4 &lt; $J$2, 1, 1 - ((($A4-$J$2)/($J$3-$J$2)) ^ J$4))</f>
        <v>1</v>
      </c>
      <c r="C4" s="3">
        <f>IF($A4 &lt; $J$2, 1, 1 - ((($A4-$J$2)/($J$3-$J$2)) ^ K$4))</f>
        <v>1</v>
      </c>
      <c r="D4" s="3">
        <f>IF($A4 &lt; $J$2, 1, 1 - ((($A4-$J$2)/($J$3-$J$2)) ^ L$4))</f>
        <v>1</v>
      </c>
      <c r="E4" s="6">
        <f t="shared" ref="E4:G67" si="1">(B3-B4) * $A4</f>
        <v>0</v>
      </c>
      <c r="F4" s="6">
        <f>(C3-C4) * $A4</f>
        <v>0</v>
      </c>
      <c r="G4" s="6">
        <f t="shared" si="0"/>
        <v>0</v>
      </c>
      <c r="I4" s="8" t="s">
        <v>2</v>
      </c>
      <c r="J4">
        <v>2</v>
      </c>
      <c r="K4" s="1">
        <v>1.5</v>
      </c>
      <c r="L4">
        <v>1</v>
      </c>
      <c r="N4">
        <v>3</v>
      </c>
      <c r="O4" s="7">
        <f>B$40-B$50</f>
        <v>6.0170294396913571E-2</v>
      </c>
      <c r="P4" s="7">
        <f>C$40-C$50</f>
        <v>9.6604760326694294E-2</v>
      </c>
      <c r="Q4" s="7">
        <f>D$40-D$50</f>
        <v>0.13908723603048401</v>
      </c>
    </row>
    <row r="5" spans="1:17" x14ac:dyDescent="0.3">
      <c r="A5" s="4">
        <f>A6 / (1+ $J$1)</f>
        <v>513.75520643147433</v>
      </c>
      <c r="B5" s="3">
        <f>IF($A5 &lt; $J$2, 1, 1 - ((($A5-$J$2)/($J$3-$J$2)) ^ J$4))</f>
        <v>1</v>
      </c>
      <c r="C5" s="3">
        <f>IF($A5 &lt; $J$2, 1, 1 - ((($A5-$J$2)/($J$3-$J$2)) ^ K$4))</f>
        <v>1</v>
      </c>
      <c r="D5" s="3">
        <f>IF($A5 &lt; $J$2, 1, 1 - ((($A5-$J$2)/($J$3-$J$2)) ^ L$4))</f>
        <v>1</v>
      </c>
      <c r="E5" s="6">
        <f t="shared" si="1"/>
        <v>0</v>
      </c>
      <c r="F5" s="6">
        <f t="shared" si="0"/>
        <v>0</v>
      </c>
      <c r="G5" s="6">
        <f t="shared" si="0"/>
        <v>0</v>
      </c>
      <c r="N5">
        <v>4</v>
      </c>
      <c r="O5" s="7">
        <f>B$50-B$58</f>
        <v>0.1152984337289028</v>
      </c>
      <c r="P5" s="7">
        <f>C$50-C$58</f>
        <v>0.14287943445428619</v>
      </c>
      <c r="Q5" s="7">
        <f>D$50-D$58</f>
        <v>0.15800736411177874</v>
      </c>
    </row>
    <row r="6" spans="1:17" x14ac:dyDescent="0.3">
      <c r="A6" s="4">
        <f>A7 / (1+ $J$1)</f>
        <v>534.30541468873332</v>
      </c>
      <c r="B6" s="3">
        <f>IF($A6 &lt; $J$2, 1, 1 - ((($A6-$J$2)/($J$3-$J$2)) ^ J$4))</f>
        <v>1</v>
      </c>
      <c r="C6" s="3">
        <f>IF($A6 &lt; $J$2, 1, 1 - ((($A6-$J$2)/($J$3-$J$2)) ^ K$4))</f>
        <v>1</v>
      </c>
      <c r="D6" s="3">
        <f>IF($A6 &lt; $J$2, 1, 1 - ((($A6-$J$2)/($J$3-$J$2)) ^ L$4))</f>
        <v>1</v>
      </c>
      <c r="E6" s="6">
        <f t="shared" si="1"/>
        <v>0</v>
      </c>
      <c r="F6" s="6">
        <f t="shared" si="0"/>
        <v>0</v>
      </c>
      <c r="G6" s="6">
        <f t="shared" si="0"/>
        <v>0</v>
      </c>
      <c r="N6">
        <v>5</v>
      </c>
      <c r="O6" s="7">
        <f>B$58-B$64</f>
        <v>0.16241812331930938</v>
      </c>
      <c r="P6" s="7">
        <f>C$58-C$64</f>
        <v>0.16849445465226998</v>
      </c>
      <c r="Q6" s="7">
        <f>D$58-D$64</f>
        <v>0.15566592652742572</v>
      </c>
    </row>
    <row r="7" spans="1:17" x14ac:dyDescent="0.3">
      <c r="A7" s="4">
        <f>A8 / (1+ $J$1)</f>
        <v>555.67763127628268</v>
      </c>
      <c r="B7" s="3">
        <f>IF($A7 &lt; $J$2, 1, 1 - ((($A7-$J$2)/($J$3-$J$2)) ^ J$4))</f>
        <v>1</v>
      </c>
      <c r="C7" s="3">
        <f>IF($A7 &lt; $J$2, 1, 1 - ((($A7-$J$2)/($J$3-$J$2)) ^ K$4))</f>
        <v>1</v>
      </c>
      <c r="D7" s="3">
        <f>IF($A7 &lt; $J$2, 1, 1 - ((($A7-$J$2)/($J$3-$J$2)) ^ L$4))</f>
        <v>1</v>
      </c>
      <c r="E7" s="6">
        <f t="shared" si="1"/>
        <v>0</v>
      </c>
      <c r="F7" s="6">
        <f t="shared" si="0"/>
        <v>0</v>
      </c>
      <c r="G7" s="6">
        <f t="shared" si="0"/>
        <v>0</v>
      </c>
      <c r="N7">
        <v>6</v>
      </c>
      <c r="O7" s="7">
        <f>B$64-B$68</f>
        <v>0.16709939691298503</v>
      </c>
      <c r="P7" s="7">
        <f>C$64-C$68</f>
        <v>0.15390610885714362</v>
      </c>
      <c r="Q7" s="7">
        <f>D$64-D$68</f>
        <v>0.1260992933014804</v>
      </c>
    </row>
    <row r="8" spans="1:17" x14ac:dyDescent="0.3">
      <c r="A8" s="4">
        <f>A9 / (1+ $J$1)</f>
        <v>577.90473652733397</v>
      </c>
      <c r="B8" s="3">
        <f>IF($A8 &lt; $J$2, 1, 1 - ((($A8-$J$2)/($J$3-$J$2)) ^ J$4))</f>
        <v>1</v>
      </c>
      <c r="C8" s="3">
        <f>IF($A8 &lt; $J$2, 1, 1 - ((($A8-$J$2)/($J$3-$J$2)) ^ K$4))</f>
        <v>1</v>
      </c>
      <c r="D8" s="3">
        <f>IF($A8 &lt; $J$2, 1, 1 - ((($A8-$J$2)/($J$3-$J$2)) ^ L$4))</f>
        <v>1</v>
      </c>
      <c r="E8" s="6">
        <f t="shared" si="1"/>
        <v>0</v>
      </c>
      <c r="F8" s="6">
        <f t="shared" si="0"/>
        <v>0</v>
      </c>
      <c r="G8" s="6">
        <f t="shared" si="0"/>
        <v>0</v>
      </c>
      <c r="N8">
        <v>7</v>
      </c>
      <c r="O8" s="7">
        <f>B$68-B$72</f>
        <v>0.235846277931268</v>
      </c>
      <c r="P8" s="7">
        <f>C$68-C$72</f>
        <v>0.19776955762869664</v>
      </c>
      <c r="Q8" s="7">
        <f>D$68-D$72</f>
        <v>0.14751833767868749</v>
      </c>
    </row>
    <row r="9" spans="1:17" x14ac:dyDescent="0.3">
      <c r="A9" s="4">
        <f>A10 / (1+ $J$1)</f>
        <v>601.02092598842739</v>
      </c>
      <c r="B9" s="3">
        <f>IF($A9 &lt; $J$2, 1, 1 - ((($A9-$J$2)/($J$3-$J$2)) ^ J$4))</f>
        <v>1</v>
      </c>
      <c r="C9" s="3">
        <f>IF($A9 &lt; $J$2, 1, 1 - ((($A9-$J$2)/($J$3-$J$2)) ^ K$4))</f>
        <v>1</v>
      </c>
      <c r="D9" s="3">
        <f>IF($A9 &lt; $J$2, 1, 1 - ((($A9-$J$2)/($J$3-$J$2)) ^ L$4))</f>
        <v>1</v>
      </c>
      <c r="E9" s="6">
        <f t="shared" si="1"/>
        <v>0</v>
      </c>
      <c r="F9" s="6">
        <f t="shared" si="0"/>
        <v>0</v>
      </c>
      <c r="G9" s="6">
        <f t="shared" si="0"/>
        <v>0</v>
      </c>
      <c r="N9">
        <v>8</v>
      </c>
      <c r="O9" s="7">
        <f>B$72</f>
        <v>0.23762881820418968</v>
      </c>
      <c r="P9" s="7">
        <f>C$72</f>
        <v>0.18412269350444177</v>
      </c>
      <c r="Q9" s="7">
        <f>D$72</f>
        <v>0.12686130437609722</v>
      </c>
    </row>
    <row r="10" spans="1:17" x14ac:dyDescent="0.3">
      <c r="A10" s="4">
        <f>A11 / (1+ $J$1)</f>
        <v>625.0617630279645</v>
      </c>
      <c r="B10" s="3">
        <f>IF($A10 &lt; $J$2, 1, 1 - ((($A10-$J$2)/($J$3-$J$2)) ^ J$4))</f>
        <v>1</v>
      </c>
      <c r="C10" s="3">
        <f>IF($A10 &lt; $J$2, 1, 1 - ((($A10-$J$2)/($J$3-$J$2)) ^ K$4))</f>
        <v>1</v>
      </c>
      <c r="D10" s="3">
        <f>IF($A10 &lt; $J$2, 1, 1 - ((($A10-$J$2)/($J$3-$J$2)) ^ L$4))</f>
        <v>1</v>
      </c>
      <c r="E10" s="6">
        <f t="shared" si="1"/>
        <v>0</v>
      </c>
      <c r="F10" s="6">
        <f t="shared" si="0"/>
        <v>0</v>
      </c>
      <c r="G10" s="6">
        <f t="shared" si="0"/>
        <v>0</v>
      </c>
      <c r="N10" t="s">
        <v>3</v>
      </c>
      <c r="O10" s="7">
        <f>SUM(O2:O9)</f>
        <v>1</v>
      </c>
      <c r="P10" s="7">
        <f>SUM(P2:P9)</f>
        <v>1</v>
      </c>
      <c r="Q10" s="7">
        <f>SUM(Q2:Q9)</f>
        <v>1</v>
      </c>
    </row>
    <row r="11" spans="1:17" x14ac:dyDescent="0.3">
      <c r="A11" s="4">
        <f>A12 / (1+ $J$1)</f>
        <v>650.06423354908316</v>
      </c>
      <c r="B11" s="3">
        <f>IF($A11 &lt; $J$2, 1, 1 - ((($A11-$J$2)/($J$3-$J$2)) ^ J$4))</f>
        <v>1</v>
      </c>
      <c r="C11" s="3">
        <f>IF($A11 &lt; $J$2, 1, 1 - ((($A11-$J$2)/($J$3-$J$2)) ^ K$4))</f>
        <v>1</v>
      </c>
      <c r="D11" s="3">
        <f>IF($A11 &lt; $J$2, 1, 1 - ((($A11-$J$2)/($J$3-$J$2)) ^ L$4))</f>
        <v>1</v>
      </c>
      <c r="E11" s="6">
        <f t="shared" si="1"/>
        <v>0</v>
      </c>
      <c r="F11" s="6">
        <f t="shared" si="0"/>
        <v>0</v>
      </c>
      <c r="G11" s="6">
        <f t="shared" si="0"/>
        <v>0</v>
      </c>
      <c r="N11" t="s">
        <v>6</v>
      </c>
      <c r="O11" s="6">
        <f>SUM(E2:E75)</f>
        <v>5776.8694393784299</v>
      </c>
      <c r="P11" s="6">
        <f>SUM(F2:F75)</f>
        <v>5301.5281868372649</v>
      </c>
      <c r="Q11" s="6">
        <f>SUM(G2:G75)</f>
        <v>4588.2332487898766</v>
      </c>
    </row>
    <row r="12" spans="1:17" x14ac:dyDescent="0.3">
      <c r="A12" s="4">
        <f>A13 / (1+ $J$1)</f>
        <v>676.06680289104656</v>
      </c>
      <c r="B12" s="3">
        <f>IF($A12 &lt; $J$2, 1, 1 - ((($A12-$J$2)/($J$3-$J$2)) ^ J$4))</f>
        <v>1</v>
      </c>
      <c r="C12" s="3">
        <f>IF($A12 &lt; $J$2, 1, 1 - ((($A12-$J$2)/($J$3-$J$2)) ^ K$4))</f>
        <v>1</v>
      </c>
      <c r="D12" s="3">
        <f>IF($A12 &lt; $J$2, 1, 1 - ((($A12-$J$2)/($J$3-$J$2)) ^ L$4))</f>
        <v>1</v>
      </c>
      <c r="E12" s="6">
        <f t="shared" si="1"/>
        <v>0</v>
      </c>
      <c r="F12" s="6">
        <f t="shared" si="0"/>
        <v>0</v>
      </c>
      <c r="G12" s="6">
        <f t="shared" si="0"/>
        <v>0</v>
      </c>
    </row>
    <row r="13" spans="1:17" x14ac:dyDescent="0.3">
      <c r="A13" s="4">
        <f>A14 / (1+ $J$1)</f>
        <v>703.1094750066884</v>
      </c>
      <c r="B13" s="3">
        <f>IF($A13 &lt; $J$2, 1, 1 - ((($A13-$J$2)/($J$3-$J$2)) ^ J$4))</f>
        <v>1</v>
      </c>
      <c r="C13" s="3">
        <f>IF($A13 &lt; $J$2, 1, 1 - ((($A13-$J$2)/($J$3-$J$2)) ^ K$4))</f>
        <v>1</v>
      </c>
      <c r="D13" s="3">
        <f>IF($A13 &lt; $J$2, 1, 1 - ((($A13-$J$2)/($J$3-$J$2)) ^ L$4))</f>
        <v>1</v>
      </c>
      <c r="E13" s="6">
        <f t="shared" si="1"/>
        <v>0</v>
      </c>
      <c r="F13" s="6">
        <f t="shared" si="0"/>
        <v>0</v>
      </c>
      <c r="G13" s="6">
        <f t="shared" si="0"/>
        <v>0</v>
      </c>
    </row>
    <row r="14" spans="1:17" x14ac:dyDescent="0.3">
      <c r="A14" s="4">
        <f>A15 / (1+ $J$1)</f>
        <v>731.23385400695599</v>
      </c>
      <c r="B14" s="3">
        <f>IF($A14 &lt; $J$2, 1, 1 - ((($A14-$J$2)/($J$3-$J$2)) ^ J$4))</f>
        <v>1</v>
      </c>
      <c r="C14" s="3">
        <f>IF($A14 &lt; $J$2, 1, 1 - ((($A14-$J$2)/($J$3-$J$2)) ^ K$4))</f>
        <v>1</v>
      </c>
      <c r="D14" s="3">
        <f>IF($A14 &lt; $J$2, 1, 1 - ((($A14-$J$2)/($J$3-$J$2)) ^ L$4))</f>
        <v>1</v>
      </c>
      <c r="E14" s="6">
        <f t="shared" si="1"/>
        <v>0</v>
      </c>
      <c r="F14" s="6">
        <f t="shared" si="0"/>
        <v>0</v>
      </c>
      <c r="G14" s="6">
        <f t="shared" si="0"/>
        <v>0</v>
      </c>
    </row>
    <row r="15" spans="1:17" x14ac:dyDescent="0.3">
      <c r="A15" s="4">
        <f>A16 / (1+ $J$1)</f>
        <v>760.48320816723424</v>
      </c>
      <c r="B15" s="3">
        <f>IF($A15 &lt; $J$2, 1, 1 - ((($A15-$J$2)/($J$3-$J$2)) ^ J$4))</f>
        <v>1</v>
      </c>
      <c r="C15" s="3">
        <f>IF($A15 &lt; $J$2, 1, 1 - ((($A15-$J$2)/($J$3-$J$2)) ^ K$4))</f>
        <v>1</v>
      </c>
      <c r="D15" s="3">
        <f>IF($A15 &lt; $J$2, 1, 1 - ((($A15-$J$2)/($J$3-$J$2)) ^ L$4))</f>
        <v>1</v>
      </c>
      <c r="E15" s="6">
        <f t="shared" si="1"/>
        <v>0</v>
      </c>
      <c r="F15" s="6">
        <f t="shared" si="0"/>
        <v>0</v>
      </c>
      <c r="G15" s="6">
        <f t="shared" si="0"/>
        <v>0</v>
      </c>
    </row>
    <row r="16" spans="1:17" x14ac:dyDescent="0.3">
      <c r="A16" s="4">
        <f>A17 / (1+ $J$1)</f>
        <v>790.90253649392366</v>
      </c>
      <c r="B16" s="3">
        <f>IF($A16 &lt; $J$2, 1, 1 - ((($A16-$J$2)/($J$3-$J$2)) ^ J$4))</f>
        <v>1</v>
      </c>
      <c r="C16" s="3">
        <f>IF($A16 &lt; $J$2, 1, 1 - ((($A16-$J$2)/($J$3-$J$2)) ^ K$4))</f>
        <v>1</v>
      </c>
      <c r="D16" s="3">
        <f>IF($A16 &lt; $J$2, 1, 1 - ((($A16-$J$2)/($J$3-$J$2)) ^ L$4))</f>
        <v>1</v>
      </c>
      <c r="E16" s="6">
        <f t="shared" si="1"/>
        <v>0</v>
      </c>
      <c r="F16" s="6">
        <f t="shared" si="0"/>
        <v>0</v>
      </c>
      <c r="G16" s="6">
        <f t="shared" si="0"/>
        <v>0</v>
      </c>
    </row>
    <row r="17" spans="1:7" x14ac:dyDescent="0.3">
      <c r="A17" s="4">
        <f>A18 / (1+ $J$1)</f>
        <v>822.53863795368068</v>
      </c>
      <c r="B17" s="3">
        <f>IF($A17 &lt; $J$2, 1, 1 - ((($A17-$J$2)/($J$3-$J$2)) ^ J$4))</f>
        <v>1</v>
      </c>
      <c r="C17" s="3">
        <f>IF($A17 &lt; $J$2, 1, 1 - ((($A17-$J$2)/($J$3-$J$2)) ^ K$4))</f>
        <v>1</v>
      </c>
      <c r="D17" s="3">
        <f>IF($A17 &lt; $J$2, 1, 1 - ((($A17-$J$2)/($J$3-$J$2)) ^ L$4))</f>
        <v>1</v>
      </c>
      <c r="E17" s="6">
        <f t="shared" si="1"/>
        <v>0</v>
      </c>
      <c r="F17" s="6">
        <f t="shared" si="0"/>
        <v>0</v>
      </c>
      <c r="G17" s="6">
        <f t="shared" si="0"/>
        <v>0</v>
      </c>
    </row>
    <row r="18" spans="1:7" x14ac:dyDescent="0.3">
      <c r="A18" s="4">
        <f>A19 / (1+ $J$1)</f>
        <v>855.44018347182794</v>
      </c>
      <c r="B18" s="3">
        <f>IF($A18 &lt; $J$2, 1, 1 - ((($A18-$J$2)/($J$3-$J$2)) ^ J$4))</f>
        <v>1</v>
      </c>
      <c r="C18" s="3">
        <f>IF($A18 &lt; $J$2, 1, 1 - ((($A18-$J$2)/($J$3-$J$2)) ^ K$4))</f>
        <v>1</v>
      </c>
      <c r="D18" s="3">
        <f>IF($A18 &lt; $J$2, 1, 1 - ((($A18-$J$2)/($J$3-$J$2)) ^ L$4))</f>
        <v>1</v>
      </c>
      <c r="E18" s="6">
        <f t="shared" si="1"/>
        <v>0</v>
      </c>
      <c r="F18" s="6">
        <f t="shared" si="0"/>
        <v>0</v>
      </c>
      <c r="G18" s="6">
        <f t="shared" si="0"/>
        <v>0</v>
      </c>
    </row>
    <row r="19" spans="1:7" x14ac:dyDescent="0.3">
      <c r="A19" s="4">
        <f>A20 / (1+ $J$1)</f>
        <v>889.65779081070104</v>
      </c>
      <c r="B19" s="3">
        <f>IF($A19 &lt; $J$2, 1, 1 - ((($A19-$J$2)/($J$3-$J$2)) ^ J$4))</f>
        <v>1</v>
      </c>
      <c r="C19" s="3">
        <f>IF($A19 &lt; $J$2, 1, 1 - ((($A19-$J$2)/($J$3-$J$2)) ^ K$4))</f>
        <v>1</v>
      </c>
      <c r="D19" s="3">
        <f>IF($A19 &lt; $J$2, 1, 1 - ((($A19-$J$2)/($J$3-$J$2)) ^ L$4))</f>
        <v>1</v>
      </c>
      <c r="E19" s="6">
        <f t="shared" si="1"/>
        <v>0</v>
      </c>
      <c r="F19" s="6">
        <f t="shared" si="1"/>
        <v>0</v>
      </c>
      <c r="G19" s="6">
        <f t="shared" si="1"/>
        <v>0</v>
      </c>
    </row>
    <row r="20" spans="1:7" x14ac:dyDescent="0.3">
      <c r="A20" s="4">
        <f>A21 / (1+ $J$1)</f>
        <v>925.24410244312912</v>
      </c>
      <c r="B20" s="3">
        <f>IF($A20 &lt; $J$2, 1, 1 - ((($A20-$J$2)/($J$3-$J$2)) ^ J$4))</f>
        <v>1</v>
      </c>
      <c r="C20" s="3">
        <f>IF($A20 &lt; $J$2, 1, 1 - ((($A20-$J$2)/($J$3-$J$2)) ^ K$4))</f>
        <v>1</v>
      </c>
      <c r="D20" s="3">
        <f>IF($A20 &lt; $J$2, 1, 1 - ((($A20-$J$2)/($J$3-$J$2)) ^ L$4))</f>
        <v>1</v>
      </c>
      <c r="E20" s="6">
        <f t="shared" si="1"/>
        <v>0</v>
      </c>
      <c r="F20" s="6">
        <f>(C19-C20) * $A20</f>
        <v>0</v>
      </c>
      <c r="G20" s="6">
        <f t="shared" si="1"/>
        <v>0</v>
      </c>
    </row>
    <row r="21" spans="1:7" x14ac:dyDescent="0.3">
      <c r="A21" s="4">
        <f>A22 / (1+ $J$1)</f>
        <v>962.25386654085435</v>
      </c>
      <c r="B21" s="3">
        <f>IF($A21 &lt; $J$2, 1, 1 - ((($A21-$J$2)/($J$3-$J$2)) ^ J$4))</f>
        <v>1</v>
      </c>
      <c r="C21" s="3">
        <f>IF($A21 &lt; $J$2, 1, 1 - ((($A21-$J$2)/($J$3-$J$2)) ^ K$4))</f>
        <v>1</v>
      </c>
      <c r="D21" s="3">
        <f>IF($A21 &lt; $J$2, 1, 1 - ((($A21-$J$2)/($J$3-$J$2)) ^ L$4))</f>
        <v>1</v>
      </c>
      <c r="E21" s="6">
        <f t="shared" si="1"/>
        <v>0</v>
      </c>
      <c r="F21" s="6">
        <f t="shared" si="1"/>
        <v>0</v>
      </c>
      <c r="G21" s="6">
        <f t="shared" si="1"/>
        <v>0</v>
      </c>
    </row>
    <row r="22" spans="1:7" x14ac:dyDescent="0.3">
      <c r="A22" s="4">
        <f>A23 / (1+ $J$1)</f>
        <v>1000.7440212024885</v>
      </c>
      <c r="B22" s="3">
        <f>IF($A22 &lt; $J$2, 1, 1 - ((($A22-$J$2)/($J$3-$J$2)) ^ J$4))</f>
        <v>0.99999998870270301</v>
      </c>
      <c r="C22" s="3">
        <f>IF($A22 &lt; $J$2, 1, 1 - ((($A22-$J$2)/($J$3-$J$2)) ^ K$4))</f>
        <v>0.9999989042009797</v>
      </c>
      <c r="D22" s="3">
        <f>IF($A22 &lt; $J$2, 1, 1 - ((($A22-$J$2)/($J$3-$J$2)) ^ L$4))</f>
        <v>0.99989371125678739</v>
      </c>
      <c r="E22" s="6">
        <f t="shared" si="1"/>
        <v>1.1305702415278698E-5</v>
      </c>
      <c r="F22" s="6">
        <f>(C21-C22) * $A22</f>
        <v>1.0966143180056506E-3</v>
      </c>
      <c r="G22" s="6">
        <f t="shared" si="1"/>
        <v>0.10636782429114855</v>
      </c>
    </row>
    <row r="23" spans="1:7" x14ac:dyDescent="0.3">
      <c r="A23" s="4">
        <f>A24 / (1+ $J$1)</f>
        <v>1040.7737820505881</v>
      </c>
      <c r="B23" s="3">
        <f>IF($A23 &lt; $J$2, 1, 1 - ((($A23-$J$2)/($J$3-$J$2)) ^ J$4))</f>
        <v>0.99996607140198557</v>
      </c>
      <c r="C23" s="3">
        <f>IF($A23 &lt; $J$2, 1, 1 - ((($A23-$J$2)/($J$3-$J$2)) ^ K$4))</f>
        <v>0.99955544608864233</v>
      </c>
      <c r="D23" s="3">
        <f>IF($A23 &lt; $J$2, 1, 1 - ((($A23-$J$2)/($J$3-$J$2)) ^ L$4))</f>
        <v>0.99417517399277311</v>
      </c>
      <c r="E23" s="6">
        <f t="shared" si="1"/>
        <v>3.5300237344642736E-2</v>
      </c>
      <c r="F23" s="6">
        <f t="shared" si="1"/>
        <v>0.46153957675837842</v>
      </c>
      <c r="G23" s="6">
        <f t="shared" si="1"/>
        <v>5.9517036560653631</v>
      </c>
    </row>
    <row r="24" spans="1:7" x14ac:dyDescent="0.3">
      <c r="A24" s="4">
        <f>A25 / (1+ $J$1)</f>
        <v>1082.4047333326116</v>
      </c>
      <c r="B24" s="3">
        <f>IF($A24 &lt; $J$2, 1, 1 - ((($A24-$J$2)/($J$3-$J$2)) ^ J$4))</f>
        <v>0.99986141754947722</v>
      </c>
      <c r="C24" s="3">
        <f>IF($A24 &lt; $J$2, 1, 1 - ((($A24-$J$2)/($J$3-$J$2)) ^ K$4))</f>
        <v>0.99872273451244387</v>
      </c>
      <c r="D24" s="3">
        <f>IF($A24 &lt; $J$2, 1, 1 - ((($A24-$J$2)/($J$3-$J$2)) ^ L$4))</f>
        <v>0.98822789523819832</v>
      </c>
      <c r="E24" s="6">
        <f t="shared" si="1"/>
        <v>0.11327782531653299</v>
      </c>
      <c r="F24" s="6">
        <f t="shared" si="1"/>
        <v>0.90133095157807697</v>
      </c>
      <c r="G24" s="6">
        <f t="shared" si="1"/>
        <v>6.4373626744002337</v>
      </c>
    </row>
    <row r="25" spans="1:7" x14ac:dyDescent="0.3">
      <c r="A25" s="4">
        <f>A26 / (1+ $J$1)</f>
        <v>1125.7009226659161</v>
      </c>
      <c r="B25" s="3">
        <f>IF($A25 &lt; $J$2, 1, 1 - ((($A25-$J$2)/($J$3-$J$2)) ^ J$4))</f>
        <v>0.99967753628654976</v>
      </c>
      <c r="C25" s="3">
        <f>IF($A25 &lt; $J$2, 1, 1 - ((($A25-$J$2)/($J$3-$J$2)) ^ K$4))</f>
        <v>0.99759363978747462</v>
      </c>
      <c r="D25" s="3">
        <f>IF($A25 &lt; $J$2, 1, 1 - ((($A25-$J$2)/($J$3-$J$2)) ^ L$4))</f>
        <v>0.9820427253334405</v>
      </c>
      <c r="E25" s="6">
        <f t="shared" si="1"/>
        <v>0.20699530733840937</v>
      </c>
      <c r="F25" s="6">
        <f t="shared" si="1"/>
        <v>1.2710229736751018</v>
      </c>
      <c r="G25" s="6">
        <f t="shared" si="1"/>
        <v>6.9626514686313286</v>
      </c>
    </row>
    <row r="26" spans="1:7" x14ac:dyDescent="0.3">
      <c r="A26" s="4">
        <f>A27 / (1+ $J$1)</f>
        <v>1170.7289595725529</v>
      </c>
      <c r="B26" s="3">
        <f>IF($A26 &lt; $J$2, 1, 1 - ((($A26-$J$2)/($J$3-$J$2)) ^ J$4))</f>
        <v>0.99940513515027085</v>
      </c>
      <c r="C26" s="3">
        <f>IF($A26 &lt; $J$2, 1, 1 - ((($A26-$J$2)/($J$3-$J$2)) ^ K$4))</f>
        <v>0.99619097581149085</v>
      </c>
      <c r="D26" s="3">
        <f>IF($A26 &lt; $J$2, 1, 1 - ((($A26-$J$2)/($J$3-$J$2)) ^ L$4))</f>
        <v>0.9756101486324924</v>
      </c>
      <c r="E26" s="6">
        <f t="shared" si="1"/>
        <v>0.31890789886218979</v>
      </c>
      <c r="F26" s="6">
        <f t="shared" si="1"/>
        <v>1.6421393372333728</v>
      </c>
      <c r="G26" s="6">
        <f t="shared" si="1"/>
        <v>7.5308038284716146</v>
      </c>
    </row>
    <row r="27" spans="1:7" x14ac:dyDescent="0.3">
      <c r="A27" s="4">
        <f>A28 / (1+ $J$1)</f>
        <v>1217.5581179554549</v>
      </c>
      <c r="B27" s="3">
        <f>IF($A27 &lt; $J$2, 1, 1 - ((($A27-$J$2)/($J$3-$J$2)) ^ J$4))</f>
        <v>0.99903405031248327</v>
      </c>
      <c r="C27" s="3">
        <f>IF($A27 &lt; $J$2, 1, 1 - ((($A27-$J$2)/($J$3-$J$2)) ^ K$4))</f>
        <v>0.99452081606629239</v>
      </c>
      <c r="D27" s="3">
        <f>IF($A27 &lt; $J$2, 1, 1 - ((($A27-$J$2)/($J$3-$J$2)) ^ L$4))</f>
        <v>0.96892026886350646</v>
      </c>
      <c r="E27" s="6">
        <f t="shared" si="1"/>
        <v>0.45181735669845491</v>
      </c>
      <c r="F27" s="6">
        <f t="shared" si="1"/>
        <v>2.0335165560488027</v>
      </c>
      <c r="G27" s="6">
        <f t="shared" si="1"/>
        <v>8.1453174208747949</v>
      </c>
    </row>
    <row r="28" spans="1:7" x14ac:dyDescent="0.3">
      <c r="A28" s="4">
        <f>A29 / (1+ $J$1)</f>
        <v>1266.2604426736732</v>
      </c>
      <c r="B28" s="3">
        <f>IF($A28 &lt; $J$2, 1, 1 - ((($A28-$J$2)/($J$3-$J$2)) ^ J$4))</f>
        <v>0.99855317095239227</v>
      </c>
      <c r="C28" s="3">
        <f>IF($A28 &lt; $J$2, 1, 1 - ((($A28-$J$2)/($J$3-$J$2)) ^ K$4))</f>
        <v>0.99258155443034857</v>
      </c>
      <c r="D28" s="3">
        <f>IF($A28 &lt; $J$2, 1, 1 - ((($A28-$J$2)/($J$3-$J$2)) ^ L$4))</f>
        <v>0.96196279390376094</v>
      </c>
      <c r="E28" s="6">
        <f>(B27-B28) * $A28</f>
        <v>0.60891851138146513</v>
      </c>
      <c r="F28" s="6">
        <f t="shared" si="1"/>
        <v>2.4556102975902969</v>
      </c>
      <c r="G28" s="6">
        <f t="shared" si="1"/>
        <v>8.8099753224183637</v>
      </c>
    </row>
    <row r="29" spans="1:7" x14ac:dyDescent="0.3">
      <c r="A29" s="4">
        <f>A30 / (1+ $J$1)</f>
        <v>1316.9108603806201</v>
      </c>
      <c r="B29" s="3">
        <f>IF($A29 &lt; $J$2, 1, 1 - ((($A29-$J$2)/($J$3-$J$2)) ^ J$4))</f>
        <v>0.99795035727699621</v>
      </c>
      <c r="C29" s="3">
        <f>IF($A29 &lt; $J$2, 1, 1 - ((($A29-$J$2)/($J$3-$J$2)) ^ K$4))</f>
        <v>0.99036706513480222</v>
      </c>
      <c r="D29" s="3">
        <f>IF($A29 &lt; $J$2, 1, 1 - ((($A29-$J$2)/($J$3-$J$2)) ^ L$4))</f>
        <v>0.9547270199456257</v>
      </c>
      <c r="E29" s="6">
        <f t="shared" si="1"/>
        <v>0.79385187591501893</v>
      </c>
      <c r="F29" s="6">
        <f t="shared" si="1"/>
        <v>2.9162850035016188</v>
      </c>
      <c r="G29" s="6">
        <f t="shared" si="1"/>
        <v>9.5288693087275629</v>
      </c>
    </row>
    <row r="30" spans="1:7" x14ac:dyDescent="0.3">
      <c r="A30" s="4">
        <f>A31 / (1+ $J$1)</f>
        <v>1369.5872947958449</v>
      </c>
      <c r="B30" s="3">
        <f>IF($A30 &lt; $J$2, 1, 1 - ((($A30-$J$2)/($J$3-$J$2)) ^ J$4))</f>
        <v>0.99721235166378552</v>
      </c>
      <c r="C30" s="3">
        <f>IF($A30 &lt; $J$2, 1, 1 - ((($A30-$J$2)/($J$3-$J$2)) ^ K$4))</f>
        <v>0.98786810927806001</v>
      </c>
      <c r="D30" s="3">
        <f>IF($A30 &lt; $J$2, 1, 1 - ((($A30-$J$2)/($J$3-$J$2)) ^ L$4))</f>
        <v>0.94720181502916501</v>
      </c>
      <c r="E30" s="6">
        <f t="shared" si="1"/>
        <v>1.0107631113413782</v>
      </c>
      <c r="F30" s="6">
        <f t="shared" si="1"/>
        <v>3.4225381916497852</v>
      </c>
      <c r="G30" s="6">
        <f t="shared" si="1"/>
        <v>10.306425044319791</v>
      </c>
    </row>
    <row r="31" spans="1:7" x14ac:dyDescent="0.3">
      <c r="A31" s="4">
        <f>A32 / (1+ $J$1)</f>
        <v>1424.3707865876786</v>
      </c>
      <c r="B31" s="3">
        <f>IF($A31 &lt; $J$2, 1, 1 - ((($A31-$J$2)/($J$3-$J$2)) ^ J$4))</f>
        <v>0.99632468235695826</v>
      </c>
      <c r="C31" s="3">
        <f>IF($A31 &lt; $J$2, 1, 1 - ((($A31-$J$2)/($J$3-$J$2)) ^ K$4))</f>
        <v>0.98507304720055888</v>
      </c>
      <c r="D31" s="3">
        <f>IF($A31 &lt; $J$2, 1, 1 - ((($A31-$J$2)/($J$3-$J$2)) ^ L$4))</f>
        <v>0.93937560191604597</v>
      </c>
      <c r="E31" s="6">
        <f t="shared" si="1"/>
        <v>1.2643702287952918</v>
      </c>
      <c r="F31" s="6">
        <f t="shared" si="1"/>
        <v>3.9812047698916775</v>
      </c>
      <c r="G31" s="6">
        <f t="shared" si="1"/>
        <v>11.147429327936173</v>
      </c>
    </row>
    <row r="32" spans="1:7" x14ac:dyDescent="0.3">
      <c r="A32" s="4">
        <f>A33 / (1+ $J$1)</f>
        <v>1481.3456180511857</v>
      </c>
      <c r="B32" s="3">
        <f>IF($A32 &lt; $J$2, 1, 1 - ((($A32-$J$2)/($J$3-$J$2)) ^ J$4))</f>
        <v>0.99527155910169229</v>
      </c>
      <c r="C32" s="3">
        <f>IF($A32 &lt; $J$2, 1, 1 - ((($A32-$J$2)/($J$3-$J$2)) ^ K$4))</f>
        <v>0.98196822524139904</v>
      </c>
      <c r="D32" s="3">
        <f>IF($A32 &lt; $J$2, 1, 1 - ((($A32-$J$2)/($J$3-$J$2)) ^ L$4))</f>
        <v>0.93123634027840207</v>
      </c>
      <c r="E32" s="6">
        <f t="shared" si="1"/>
        <v>1.5600395194560364</v>
      </c>
      <c r="F32" s="6">
        <f t="shared" si="1"/>
        <v>4.5993144040305305</v>
      </c>
      <c r="G32" s="6">
        <f t="shared" si="1"/>
        <v>12.057059561095896</v>
      </c>
    </row>
    <row r="33" spans="1:7" x14ac:dyDescent="0.3">
      <c r="A33" s="4">
        <f>A34 / (1+ $J$1)</f>
        <v>1540.5994427732332</v>
      </c>
      <c r="B33" s="3">
        <f>IF($A33 &lt; $J$2, 1, 1 - ((($A33-$J$2)/($J$3-$J$2)) ^ J$4))</f>
        <v>0.99403576005047489</v>
      </c>
      <c r="C33" s="3">
        <f>IF($A33 &lt; $J$2, 1, 1 - ((($A33-$J$2)/($J$3-$J$2)) ^ K$4))</f>
        <v>0.97853819075234494</v>
      </c>
      <c r="D33" s="3">
        <f>IF($A33 &lt; $J$2, 1, 1 - ((($A33-$J$2)/($J$3-$J$2)) ^ L$4))</f>
        <v>0.92277150817525233</v>
      </c>
      <c r="E33" s="6">
        <f t="shared" si="1"/>
        <v>1.9038713296852185</v>
      </c>
      <c r="F33" s="6">
        <f t="shared" si="1"/>
        <v>5.2843092225297204</v>
      </c>
      <c r="G33" s="6">
        <f t="shared" si="1"/>
        <v>13.040915621281473</v>
      </c>
    </row>
    <row r="34" spans="1:7" x14ac:dyDescent="0.3">
      <c r="A34" s="4">
        <f>A35 / (1+ $J$1)</f>
        <v>1602.2234204841627</v>
      </c>
      <c r="B34" s="3">
        <f>IF($A34 &lt; $J$2, 1, 1 - ((($A34-$J$2)/($J$3-$J$2)) ^ J$4))</f>
        <v>0.9925985092208236</v>
      </c>
      <c r="C34" s="3">
        <f>IF($A34 &lt; $J$2, 1, 1 - ((($A34-$J$2)/($J$3-$J$2)) ^ K$4))</f>
        <v>0.974765808077934</v>
      </c>
      <c r="D34" s="3">
        <f>IF($A34 &lt; $J$2, 1, 1 - ((($A34-$J$2)/($J$3-$J$2)) ^ L$4))</f>
        <v>0.91396808278797681</v>
      </c>
      <c r="E34" s="6">
        <f t="shared" si="1"/>
        <v>2.3027969403775956</v>
      </c>
      <c r="F34" s="6">
        <f t="shared" si="1"/>
        <v>6.0441998719698811</v>
      </c>
      <c r="G34" s="6">
        <f t="shared" si="1"/>
        <v>14.1050543359777</v>
      </c>
    </row>
    <row r="35" spans="1:7" x14ac:dyDescent="0.3">
      <c r="A35" s="4">
        <f>A36 / (1+ $J$1)</f>
        <v>1666.3123573035293</v>
      </c>
      <c r="B35" s="3">
        <f>IF($A35 &lt; $J$2, 1, 1 - ((($A35-$J$2)/($J$3-$J$2)) ^ J$4))</f>
        <v>0.99093934372458392</v>
      </c>
      <c r="C35" s="3">
        <f>IF($A35 &lt; $J$2, 1, 1 - ((($A35-$J$2)/($J$3-$J$2)) ^ K$4))</f>
        <v>0.97063231308882525</v>
      </c>
      <c r="D35" s="3">
        <f>IF($A35 &lt; $J$2, 1, 1 - ((($A35-$J$2)/($J$3-$J$2)) ^ L$4))</f>
        <v>0.9048125203852101</v>
      </c>
      <c r="E35" s="6">
        <f t="shared" si="1"/>
        <v>2.7646879691958186</v>
      </c>
      <c r="F35" s="6">
        <f t="shared" si="1"/>
        <v>6.8876937792041355</v>
      </c>
      <c r="G35" s="6">
        <f t="shared" si="1"/>
        <v>15.25602676979377</v>
      </c>
    </row>
    <row r="36" spans="1:7" x14ac:dyDescent="0.3">
      <c r="A36" s="4">
        <f>A37 / (1+ $J$1)</f>
        <v>1732.9648515956706</v>
      </c>
      <c r="B36" s="3">
        <f>IF($A36 &lt; $J$2, 1, 1 - ((($A36-$J$2)/($J$3-$J$2)) ^ J$4))</f>
        <v>0.98903596992500686</v>
      </c>
      <c r="C36" s="3">
        <f>IF($A36 &lt; $J$2, 1, 1 - ((($A36-$J$2)/($J$3-$J$2)) ^ K$4))</f>
        <v>0.96611732706443809</v>
      </c>
      <c r="D36" s="3">
        <f>IF($A36 &lt; $J$2, 1, 1 - ((($A36-$J$2)/($J$3-$J$2)) ^ L$4))</f>
        <v>0.89529073548633276</v>
      </c>
      <c r="E36" s="6">
        <f t="shared" si="1"/>
        <v>3.2984798941151428</v>
      </c>
      <c r="F36" s="6">
        <f t="shared" si="1"/>
        <v>7.824312085708617</v>
      </c>
      <c r="G36" s="6">
        <f t="shared" si="1"/>
        <v>16.500918554208866</v>
      </c>
    </row>
    <row r="37" spans="1:7" x14ac:dyDescent="0.3">
      <c r="A37" s="4">
        <f>A38 / (1+ $J$1)</f>
        <v>1802.2834456594974</v>
      </c>
      <c r="B37" s="3">
        <f>IF($A37 &lt; $J$2, 1, 1 - ((($A37-$J$2)/($J$3-$J$2)) ^ J$4))</f>
        <v>0.98686410760858623</v>
      </c>
      <c r="C37" s="3">
        <f>IF($A37 &lt; $J$2, 1, 1 - ((($A37-$J$2)/($J$3-$J$2)) ^ K$4))</f>
        <v>0.96119884204674189</v>
      </c>
      <c r="D37" s="3">
        <f>IF($A37 &lt; $J$2, 1, 1 - ((($A37-$J$2)/($J$3-$J$2)) ^ L$4))</f>
        <v>0.88538807919150042</v>
      </c>
      <c r="E37" s="6">
        <f t="shared" si="1"/>
        <v>3.9143114991366019</v>
      </c>
      <c r="F37" s="6">
        <f t="shared" si="1"/>
        <v>8.8645041251181311</v>
      </c>
      <c r="G37" s="6">
        <f t="shared" si="1"/>
        <v>17.84739350823213</v>
      </c>
    </row>
    <row r="38" spans="1:7" x14ac:dyDescent="0.3">
      <c r="A38" s="4">
        <f>A39 / (1+ $J$1)</f>
        <v>1874.3747834858773</v>
      </c>
      <c r="B38" s="3">
        <f>IF($A38 &lt; $J$2, 1, 1 - ((($A38-$J$2)/($J$3-$J$2)) ^ J$4))</f>
        <v>0.98439732118375567</v>
      </c>
      <c r="C38" s="3">
        <f>IF($A38 &lt; $J$2, 1, 1 - ((($A38-$J$2)/($J$3-$J$2)) ^ K$4))</f>
        <v>0.95585318501740335</v>
      </c>
      <c r="D38" s="3">
        <f>IF($A38 &lt; $J$2, 1, 1 - ((($A38-$J$2)/($J$3-$J$2)) ^ L$4))</f>
        <v>0.87508931664487466</v>
      </c>
      <c r="E38" s="6">
        <f t="shared" si="1"/>
        <v>4.623682270947679</v>
      </c>
      <c r="F38" s="6">
        <f t="shared" si="1"/>
        <v>10.019764736956175</v>
      </c>
      <c r="G38" s="6">
        <f t="shared" si="1"/>
        <v>19.303740818504124</v>
      </c>
    </row>
    <row r="39" spans="1:7" x14ac:dyDescent="0.3">
      <c r="A39" s="4">
        <f>A40 / (1+ $J$1)</f>
        <v>1949.3497748253124</v>
      </c>
      <c r="B39" s="3">
        <f>IF($A39 &lt; $J$2, 1, 1 - ((($A39-$J$2)/($J$3-$J$2)) ^ J$4))</f>
        <v>0.98160683683753325</v>
      </c>
      <c r="C39" s="3">
        <f>IF($A39 &lt; $J$2, 1, 1 - ((($A39-$J$2)/($J$3-$J$2)) ^ K$4))</f>
        <v>0.95005496548831614</v>
      </c>
      <c r="D39" s="3">
        <f>IF($A39 &lt; $J$2, 1, 1 - ((($A39-$J$2)/($J$3-$J$2)) ^ L$4))</f>
        <v>0.86437860359638397</v>
      </c>
      <c r="E39" s="6">
        <f t="shared" si="1"/>
        <v>5.4396300319622366</v>
      </c>
      <c r="F39" s="6">
        <f t="shared" si="1"/>
        <v>11.302757933413885</v>
      </c>
      <c r="G39" s="6">
        <f t="shared" si="1"/>
        <v>20.878926069293868</v>
      </c>
    </row>
    <row r="40" spans="1:7" x14ac:dyDescent="0.3">
      <c r="A40" s="4">
        <f>A41 / (1+ $J$1)</f>
        <v>2027.323765818325</v>
      </c>
      <c r="B40" s="3">
        <f>IF($A40 &lt; $J$2, 1, 1 - ((($A40-$J$2)/($J$3-$J$2)) ^ J$4))</f>
        <v>0.97846134449356847</v>
      </c>
      <c r="C40" s="3">
        <f>IF($A40 &lt; $J$2, 1, 1 - ((($A40-$J$2)/($J$3-$J$2)) ^ K$4))</f>
        <v>0.94377700942353249</v>
      </c>
      <c r="D40" s="3">
        <f>IF($A40 &lt; $J$2, 1, 1 - ((($A40-$J$2)/($J$3-$J$2)) ^ L$4))</f>
        <v>0.85323946202595358</v>
      </c>
      <c r="E40" s="6">
        <f t="shared" si="1"/>
        <v>6.3769313841193735</v>
      </c>
      <c r="F40" s="6">
        <f t="shared" si="1"/>
        <v>12.727449530899186</v>
      </c>
      <c r="G40" s="6">
        <f t="shared" si="1"/>
        <v>22.582646436548387</v>
      </c>
    </row>
    <row r="41" spans="1:7" x14ac:dyDescent="0.3">
      <c r="A41" s="4">
        <f>A42 / (1+ $J$1)</f>
        <v>2108.4167164510582</v>
      </c>
      <c r="B41" s="3">
        <f>IF($A41 &lt; $J$2, 1, 1 - ((($A41-$J$2)/($J$3-$J$2)) ^ J$4))</f>
        <v>0.97492678332024196</v>
      </c>
      <c r="C41" s="3">
        <f>IF($A41 &lt; $J$2, 1, 1 - ((($A41-$J$2)/($J$3-$J$2)) ^ K$4))</f>
        <v>0.93699028135841345</v>
      </c>
      <c r="D41" s="3">
        <f>IF($A41 &lt; $J$2, 1, 1 - ((($A41-$J$2)/($J$3-$J$2)) ^ L$4))</f>
        <v>0.84165475479270602</v>
      </c>
      <c r="E41" s="6">
        <f t="shared" si="1"/>
        <v>7.452327863160483</v>
      </c>
      <c r="F41" s="6">
        <f t="shared" si="1"/>
        <v>14.309250902504532</v>
      </c>
      <c r="G41" s="6">
        <f t="shared" si="1"/>
        <v>24.425390385770644</v>
      </c>
    </row>
    <row r="42" spans="1:7" x14ac:dyDescent="0.3">
      <c r="A42" s="4">
        <f>A43 / (1+ $J$1)</f>
        <v>2192.7533851091007</v>
      </c>
      <c r="B42" s="3">
        <f>IF($A42 &lt; $J$2, 1, 1 - ((($A42-$J$2)/($J$3-$J$2)) ^ J$4))</f>
        <v>0.9709661094349139</v>
      </c>
      <c r="C42" s="3">
        <f>IF($A42 &lt; $J$2, 1, 1 - ((($A42-$J$2)/($J$3-$J$2)) ^ K$4))</f>
        <v>0.92966379589592207</v>
      </c>
      <c r="D42" s="3">
        <f>IF($A42 &lt; $J$2, 1, 1 - ((($A42-$J$2)/($J$3-$J$2)) ^ L$4))</f>
        <v>0.82960665927012844</v>
      </c>
      <c r="E42" s="6">
        <f t="shared" si="1"/>
        <v>8.6847810693663146</v>
      </c>
      <c r="F42" s="6">
        <f t="shared" si="1"/>
        <v>16.065175798830573</v>
      </c>
      <c r="G42" s="6">
        <f t="shared" si="1"/>
        <v>26.418502241249772</v>
      </c>
    </row>
    <row r="43" spans="1:7" x14ac:dyDescent="0.3">
      <c r="A43" s="4">
        <f>A44 / (1+ $J$1)</f>
        <v>2280.463520513465</v>
      </c>
      <c r="B43" s="3">
        <f>IF($A43 &lt; $J$2, 1, 1 - ((($A43-$J$2)/($J$3-$J$2)) ^ J$4))</f>
        <v>0.9665390443394748</v>
      </c>
      <c r="C43" s="3">
        <f>IF($A43 &lt; $J$2, 1, 1 - ((($A43-$J$2)/($J$3-$J$2)) ^ K$4))</f>
        <v>0.9217645192978996</v>
      </c>
      <c r="D43" s="3">
        <f>IF($A43 &lt; $J$2, 1, 1 - ((($A43-$J$2)/($J$3-$J$2)) ^ L$4))</f>
        <v>0.81707663992664781</v>
      </c>
      <c r="E43" s="6">
        <f t="shared" si="1"/>
        <v>10.095760453087349</v>
      </c>
      <c r="F43" s="6">
        <f t="shared" si="1"/>
        <v>18.014012120235961</v>
      </c>
      <c r="G43" s="6">
        <f t="shared" si="1"/>
        <v>28.574252024135667</v>
      </c>
    </row>
    <row r="44" spans="1:7" x14ac:dyDescent="0.3">
      <c r="A44" s="4">
        <f>A45 / (1+ $J$1)</f>
        <v>2371.6820613340037</v>
      </c>
      <c r="B44" s="3">
        <f>IF($A44 &lt; $J$2, 1, 1 - ((($A44-$J$2)/($J$3-$J$2)) ^ J$4))</f>
        <v>0.96160180250233673</v>
      </c>
      <c r="C44" s="3">
        <f>IF($A44 &lt; $J$2, 1, 1 - ((($A44-$J$2)/($J$3-$J$2)) ^ K$4))</f>
        <v>0.91325726156772957</v>
      </c>
      <c r="D44" s="3">
        <f>IF($A44 &lt; $J$2, 1, 1 - ((($A44-$J$2)/($J$3-$J$2)) ^ L$4))</f>
        <v>0.80404541980942801</v>
      </c>
      <c r="E44" s="6">
        <f t="shared" si="1"/>
        <v>11.709567897608084</v>
      </c>
      <c r="F44" s="6">
        <f t="shared" si="1"/>
        <v>20.176510549789285</v>
      </c>
      <c r="G44" s="6">
        <f t="shared" si="1"/>
        <v>30.905910989304992</v>
      </c>
    </row>
    <row r="45" spans="1:7" x14ac:dyDescent="0.3">
      <c r="A45" s="4">
        <f>A46 / (1+ $J$1)</f>
        <v>2466.5493437873638</v>
      </c>
      <c r="B45" s="3">
        <f>IF($A45 &lt; $J$2, 1, 1 - ((($A45-$J$2)/($J$3-$J$2)) ^ J$4))</f>
        <v>0.95610679637218066</v>
      </c>
      <c r="C45" s="3">
        <f>IF($A45 &lt; $J$2, 1, 1 - ((($A45-$J$2)/($J$3-$J$2)) ^ K$4))</f>
        <v>0.90410455918992993</v>
      </c>
      <c r="D45" s="3">
        <f>IF($A45 &lt; $J$2, 1, 1 - ((($A45-$J$2)/($J$3-$J$2)) ^ L$4))</f>
        <v>0.79049295088751947</v>
      </c>
      <c r="E45" s="6">
        <f t="shared" si="1"/>
        <v>13.553703764444013</v>
      </c>
      <c r="F45" s="6">
        <f t="shared" si="1"/>
        <v>22.57559204384274</v>
      </c>
      <c r="G45" s="6">
        <f t="shared" si="1"/>
        <v>33.427833326032136</v>
      </c>
    </row>
    <row r="46" spans="1:7" x14ac:dyDescent="0.3">
      <c r="A46" s="4">
        <f>A47 / (1+ $J$1)</f>
        <v>2565.2113175388586</v>
      </c>
      <c r="B46" s="3">
        <f>IF($A46 &lt; $J$2, 1, 1 - ((($A46-$J$2)/($J$3-$J$2)) ^ J$4))</f>
        <v>0.95000231696833204</v>
      </c>
      <c r="C46" s="3">
        <f>IF($A46 &lt; $J$2, 1, 1 - ((($A46-$J$2)/($J$3-$J$2)) ^ K$4))</f>
        <v>0.89426654852082921</v>
      </c>
      <c r="D46" s="3">
        <f>IF($A46 &lt; $J$2, 1, 1 - ((($A46-$J$2)/($J$3-$J$2)) ^ L$4))</f>
        <v>0.77639838320873444</v>
      </c>
      <c r="E46" s="6">
        <f t="shared" si="1"/>
        <v>15.659279654435338</v>
      </c>
      <c r="F46" s="6">
        <f t="shared" si="1"/>
        <v>25.236576310445223</v>
      </c>
      <c r="G46" s="6">
        <f t="shared" si="1"/>
        <v>36.15554452543676</v>
      </c>
    </row>
    <row r="47" spans="1:7" x14ac:dyDescent="0.3">
      <c r="A47" s="4">
        <f>A48 / (1+ $J$1)</f>
        <v>2667.8197702404132</v>
      </c>
      <c r="B47" s="3">
        <f>IF($A47 &lt; $J$2, 1, 1 - ((($A47-$J$2)/($J$3-$J$2)) ^ J$4))</f>
        <v>0.94323218804071873</v>
      </c>
      <c r="C47" s="3">
        <f>IF($A47 &lt; $J$2, 1, 1 - ((($A47-$J$2)/($J$3-$J$2)) ^ K$4))</f>
        <v>0.88370082969281361</v>
      </c>
      <c r="D47" s="3">
        <f>IF($A47 &lt; $J$2, 1, 1 - ((($A47-$J$2)/($J$3-$J$2)) ^ L$4))</f>
        <v>0.76174003282279812</v>
      </c>
      <c r="E47" s="6">
        <f t="shared" si="1"/>
        <v>18.061483800163305</v>
      </c>
      <c r="F47" s="6">
        <f t="shared" si="1"/>
        <v>28.187433576181391</v>
      </c>
      <c r="G47" s="6">
        <f t="shared" si="1"/>
        <v>39.105836958712118</v>
      </c>
    </row>
    <row r="48" spans="1:7" x14ac:dyDescent="0.3">
      <c r="A48" s="4">
        <f>A49 / (1+ $J$1)</f>
        <v>2774.5325610500299</v>
      </c>
      <c r="B48" s="3">
        <f>IF($A48 &lt; $J$2, 1, 1 - ((($A48-$J$2)/($J$3-$J$2)) ^ J$4))</f>
        <v>0.93573539162802488</v>
      </c>
      <c r="C48" s="3">
        <f>IF($A48 &lt; $J$2, 1, 1 - ((($A48-$J$2)/($J$3-$J$2)) ^ K$4))</f>
        <v>0.87236232078977949</v>
      </c>
      <c r="D48" s="3">
        <f>IF($A48 &lt; $J$2, 1, 1 - ((($A48-$J$2)/($J$3-$J$2)) ^ L$4))</f>
        <v>0.74649534842142429</v>
      </c>
      <c r="E48" s="6">
        <f t="shared" si="1"/>
        <v>20.800105750582148</v>
      </c>
      <c r="F48" s="6">
        <f t="shared" si="1"/>
        <v>31.459062145223815</v>
      </c>
      <c r="G48" s="6">
        <f t="shared" si="1"/>
        <v>42.296873254543179</v>
      </c>
    </row>
    <row r="49" spans="1:7" x14ac:dyDescent="0.3">
      <c r="A49" s="4">
        <f>A50 / (1+ $J$1)</f>
        <v>2885.5138634920313</v>
      </c>
      <c r="B49" s="3">
        <f>IF($A49 &lt; $J$2, 1, 1 - ((($A49-$J$2)/($J$3-$J$2)) ^ J$4))</f>
        <v>0.92744566266488482</v>
      </c>
      <c r="C49" s="3">
        <f>IF($A49 &lt; $J$2, 1, 1 - ((($A49-$J$2)/($J$3-$J$2)) ^ K$4))</f>
        <v>0.86020310196480587</v>
      </c>
      <c r="D49" s="3">
        <f>IF($A49 &lt; $J$2, 1, 1 - ((($A49-$J$2)/($J$3-$J$2)) ^ L$4))</f>
        <v>0.73064087664399557</v>
      </c>
      <c r="E49" s="6">
        <f t="shared" si="1"/>
        <v>23.920127847732076</v>
      </c>
      <c r="F49" s="6">
        <f t="shared" si="1"/>
        <v>35.08559448869466</v>
      </c>
      <c r="G49" s="6">
        <f t="shared" si="1"/>
        <v>45.748298112113702</v>
      </c>
    </row>
    <row r="50" spans="1:7" x14ac:dyDescent="0.3">
      <c r="A50" s="4">
        <f>A51 / (1+ $J$1)</f>
        <v>3000.9344180317125</v>
      </c>
      <c r="B50" s="3">
        <f>IF($A50 &lt; $J$2, 1, 1 - ((($A50-$J$2)/($J$3-$J$2)) ^ J$4))</f>
        <v>0.9182910500966549</v>
      </c>
      <c r="C50" s="3">
        <f>IF($A50 &lt; $J$2, 1, 1 - ((($A50-$J$2)/($J$3-$J$2)) ^ K$4))</f>
        <v>0.84717224909683819</v>
      </c>
      <c r="D50" s="3">
        <f>IF($A50 &lt; $J$2, 1, 1 - ((($A50-$J$2)/($J$3-$J$2)) ^ L$4))</f>
        <v>0.71415222599546957</v>
      </c>
      <c r="E50" s="6">
        <f t="shared" si="1"/>
        <v>27.472391939746839</v>
      </c>
      <c r="F50" s="6">
        <f t="shared" si="1"/>
        <v>39.104734867791457</v>
      </c>
      <c r="G50" s="6">
        <f t="shared" si="1"/>
        <v>49.481359238062602</v>
      </c>
    </row>
    <row r="51" spans="1:7" x14ac:dyDescent="0.3">
      <c r="A51" s="4">
        <f>A52 / (1+ $J$1)</f>
        <v>3120.9717947529812</v>
      </c>
      <c r="B51" s="3">
        <f>IF($A51 &lt; $J$2, 1, 1 - ((($A51-$J$2)/($J$3-$J$2)) ^ J$4))</f>
        <v>0.90819344175229222</v>
      </c>
      <c r="C51" s="3">
        <f>IF($A51 &lt; $J$2, 1, 1 - ((($A51-$J$2)/($J$3-$J$2)) ^ K$4))</f>
        <v>0.83321565651727947</v>
      </c>
      <c r="D51" s="3">
        <f>IF($A51 &lt; $J$2, 1, 1 - ((($A51-$J$2)/($J$3-$J$2)) ^ L$4))</f>
        <v>0.69700402932100269</v>
      </c>
      <c r="E51" s="6">
        <f t="shared" si="1"/>
        <v>31.514350837218288</v>
      </c>
      <c r="F51" s="6">
        <f t="shared" si="1"/>
        <v>43.55813179166153</v>
      </c>
      <c r="G51" s="6">
        <f t="shared" si="1"/>
        <v>53.51903815188799</v>
      </c>
    </row>
    <row r="52" spans="1:7" x14ac:dyDescent="0.3">
      <c r="A52" s="4">
        <f>A53 / (1+ $J$1)</f>
        <v>3245.8106665431005</v>
      </c>
      <c r="B52" s="3">
        <f>IF($A52 &lt; $J$2, 1, 1 - ((($A52-$J$2)/($J$3-$J$2)) ^ J$4))</f>
        <v>0.89706805000084155</v>
      </c>
      <c r="C52" s="3">
        <f>IF($A52 &lt; $J$2, 1, 1 - ((($A52-$J$2)/($J$3-$J$2)) ^ K$4))</f>
        <v>0.81827584827696709</v>
      </c>
      <c r="D52" s="3">
        <f>IF($A52 &lt; $J$2, 1, 1 - ((($A52-$J$2)/($J$3-$J$2)) ^ L$4))</f>
        <v>0.67916990477955708</v>
      </c>
      <c r="E52" s="6">
        <f t="shared" si="1"/>
        <v>36.11091521632919</v>
      </c>
      <c r="F52" s="6">
        <f t="shared" si="1"/>
        <v>48.491788942514432</v>
      </c>
      <c r="G52" s="6">
        <f t="shared" si="1"/>
        <v>57.886191665082265</v>
      </c>
    </row>
    <row r="53" spans="1:7" x14ac:dyDescent="0.3">
      <c r="A53" s="4">
        <f>A54 / (1+ $J$1)</f>
        <v>3375.6430932048247</v>
      </c>
      <c r="B53" s="3">
        <f>IF($A53 &lt; $J$2, 1, 1 - ((($A53-$J$2)/($J$3-$J$2)) ^ J$4))</f>
        <v>0.884822854973637</v>
      </c>
      <c r="C53" s="3">
        <f>IF($A53 &lt; $J$2, 1, 1 - ((($A53-$J$2)/($J$3-$J$2)) ^ K$4))</f>
        <v>0.80229177736698898</v>
      </c>
      <c r="D53" s="3">
        <f>IF($A53 &lt; $J$2, 1, 1 - ((($A53-$J$2)/($J$3-$J$2)) ^ L$4))</f>
        <v>0.6606224152564536</v>
      </c>
      <c r="E53" s="6">
        <f t="shared" si="1"/>
        <v>41.335408018529137</v>
      </c>
      <c r="F53" s="6">
        <f t="shared" si="1"/>
        <v>53.956518568563766</v>
      </c>
      <c r="G53" s="6">
        <f t="shared" si="1"/>
        <v>62.609704904953105</v>
      </c>
    </row>
    <row r="54" spans="1:7" x14ac:dyDescent="0.3">
      <c r="A54" s="4">
        <f>A55 / (1+ $J$1)</f>
        <v>3510.6688169330178</v>
      </c>
      <c r="B54" s="3">
        <f>IF($A54 &lt; $J$2, 1, 1 - ((($A54-$J$2)/($J$3-$J$2)) ^ J$4))</f>
        <v>0.87135800187102364</v>
      </c>
      <c r="C54" s="3">
        <f>IF($A54 &lt; $J$2, 1, 1 - ((($A54-$J$2)/($J$3-$J$2)) ^ K$4))</f>
        <v>0.7851986122516309</v>
      </c>
      <c r="D54" s="3">
        <f>IF($A54 &lt; $J$2, 1, 1 - ((($A54-$J$2)/($J$3-$J$2)) ^ L$4))</f>
        <v>0.64133302615242604</v>
      </c>
      <c r="E54" s="6">
        <f t="shared" si="1"/>
        <v>47.270639911928519</v>
      </c>
      <c r="F54" s="6">
        <f t="shared" si="1"/>
        <v>60.008441753174871</v>
      </c>
      <c r="G54" s="6">
        <f t="shared" si="1"/>
        <v>67.718656825197058</v>
      </c>
    </row>
    <row r="55" spans="1:7" x14ac:dyDescent="0.3">
      <c r="A55" s="4">
        <f>A56 / (1+ $J$1)</f>
        <v>3651.0955696103388</v>
      </c>
      <c r="B55" s="3">
        <f>IF($A55 &lt; $J$2, 1, 1 - ((($A55-$J$2)/($J$3-$J$2)) ^ J$4))</f>
        <v>0.85656514858760069</v>
      </c>
      <c r="C55" s="3">
        <f>IF($A55 &lt; $J$2, 1, 1 - ((($A55-$J$2)/($J$3-$J$2)) ^ K$4))</f>
        <v>0.76692751001730652</v>
      </c>
      <c r="D55" s="3">
        <f>IF($A55 &lt; $J$2, 1, 1 - ((($A55-$J$2)/($J$3-$J$2)) ^ L$4))</f>
        <v>0.6212720614842373</v>
      </c>
      <c r="E55" s="6">
        <f t="shared" si="1"/>
        <v>54.010121085001273</v>
      </c>
      <c r="F55" s="6">
        <f t="shared" si="1"/>
        <v>66.709540419639296</v>
      </c>
      <c r="G55" s="6">
        <f t="shared" si="1"/>
        <v>73.244499222133456</v>
      </c>
    </row>
    <row r="56" spans="1:7" x14ac:dyDescent="0.3">
      <c r="A56" s="4">
        <f>A57 / (1+ $J$1)</f>
        <v>3797.1393923947526</v>
      </c>
      <c r="B56" s="3">
        <f>IF($A56 &lt; $J$2, 1, 1 - ((($A56-$J$2)/($J$3-$J$2)) ^ J$4))</f>
        <v>0.84032675958190839</v>
      </c>
      <c r="C56" s="3">
        <f>IF($A56 &lt; $J$2, 1, 1 - ((($A56-$J$2)/($J$3-$J$2)) ^ K$4))</f>
        <v>0.74740537538669316</v>
      </c>
      <c r="D56" s="3">
        <f>IF($A56 &lt; $J$2, 1, 1 - ((($A56-$J$2)/($J$3-$J$2)) ^ L$4))</f>
        <v>0.6004086582293211</v>
      </c>
      <c r="E56" s="6">
        <f t="shared" si="1"/>
        <v>61.659426562544091</v>
      </c>
      <c r="F56" s="6">
        <f t="shared" si="1"/>
        <v>74.128266429535785</v>
      </c>
      <c r="G56" s="6">
        <f t="shared" si="1"/>
        <v>79.221250358659205</v>
      </c>
    </row>
    <row r="57" spans="1:7" x14ac:dyDescent="0.3">
      <c r="A57" s="4">
        <f>A58 / (1+ $J$1)</f>
        <v>3949.0249680905426</v>
      </c>
      <c r="B57" s="3">
        <f>IF($A57 &lt; $J$2, 1, 1 - ((($A57-$J$2)/($J$3-$J$2)) ^ J$4))</f>
        <v>0.82251534158323625</v>
      </c>
      <c r="C57" s="3">
        <f>IF($A57 &lt; $J$2, 1, 1 - ((($A57-$J$2)/($J$3-$J$2)) ^ K$4))</f>
        <v>0.72655460479177991</v>
      </c>
      <c r="D57" s="3">
        <f>IF($A57 &lt; $J$2, 1, 1 - ((($A57-$J$2)/($J$3-$J$2)) ^ L$4))</f>
        <v>0.57871071884420822</v>
      </c>
      <c r="E57" s="6">
        <f t="shared" si="1"/>
        <v>70.337734393853566</v>
      </c>
      <c r="F57" s="6">
        <f t="shared" si="1"/>
        <v>82.34021368324052</v>
      </c>
      <c r="G57" s="6">
        <f t="shared" si="1"/>
        <v>85.685704387925938</v>
      </c>
    </row>
    <row r="58" spans="1:7" x14ac:dyDescent="0.3">
      <c r="A58" s="4">
        <f>A59 / (1+ $J$1)</f>
        <v>4106.9859668141644</v>
      </c>
      <c r="B58" s="3">
        <f>IF($A58 &lt; $J$2, 1, 1 - ((($A58-$J$2)/($J$3-$J$2)) ^ J$4))</f>
        <v>0.8029926163677521</v>
      </c>
      <c r="C58" s="3">
        <f>IF($A58 &lt; $J$2, 1, 1 - ((($A58-$J$2)/($J$3-$J$2)) ^ K$4))</f>
        <v>0.704292814642552</v>
      </c>
      <c r="D58" s="3">
        <f>IF($A58 &lt; $J$2, 1, 1 - ((($A58-$J$2)/($J$3-$J$2)) ^ L$4))</f>
        <v>0.55614486188369083</v>
      </c>
      <c r="E58" s="6">
        <f t="shared" si="1"/>
        <v>80.179558493962432</v>
      </c>
      <c r="F58" s="6">
        <f t="shared" si="1"/>
        <v>91.428859739040831</v>
      </c>
      <c r="G58" s="6">
        <f t="shared" si="1"/>
        <v>92.67765786598062</v>
      </c>
    </row>
    <row r="59" spans="1:7" x14ac:dyDescent="0.3">
      <c r="A59" s="4">
        <f>A60 / (1+ $J$1)</f>
        <v>4271.2654054867307</v>
      </c>
      <c r="B59" s="3">
        <f>IF($A59 &lt; $J$2, 1, 1 - ((($A59-$J$2)/($J$3-$J$2)) ^ J$4))</f>
        <v>0.78160862544623955</v>
      </c>
      <c r="C59" s="3">
        <f>IF($A59 &lt; $J$2, 1, 1 - ((($A59-$J$2)/($J$3-$J$2)) ^ K$4))</f>
        <v>0.68053255286908421</v>
      </c>
      <c r="D59" s="3">
        <f>IF($A59 &lt; $J$2, 1, 1 - ((($A59-$J$2)/($J$3-$J$2)) ^ L$4))</f>
        <v>0.53267637064475282</v>
      </c>
      <c r="E59" s="6">
        <f t="shared" si="1"/>
        <v>91.33670065429888</v>
      </c>
      <c r="F59" s="6">
        <f t="shared" si="1"/>
        <v>101.48638413832178</v>
      </c>
      <c r="G59" s="6">
        <f t="shared" si="1"/>
        <v>100.24015474784437</v>
      </c>
    </row>
    <row r="60" spans="1:7" x14ac:dyDescent="0.3">
      <c r="A60" s="4">
        <f>A61 / (1+ $J$1)</f>
        <v>4442.1160217061997</v>
      </c>
      <c r="B60" s="3">
        <f>IF($A60 &lt; $J$2, 1, 1 - ((($A60-$J$2)/($J$3-$J$2)) ^ J$4))</f>
        <v>0.75820076108394874</v>
      </c>
      <c r="C60" s="3">
        <f>IF($A60 &lt; $J$2, 1, 1 - ((($A60-$J$2)/($J$3-$J$2)) ^ K$4))</f>
        <v>0.65518099275348496</v>
      </c>
      <c r="D60" s="3">
        <f>IF($A60 &lt; $J$2, 1, 1 - ((($A60-$J$2)/($J$3-$J$2)) ^ L$4))</f>
        <v>0.5082691397562572</v>
      </c>
      <c r="E60" s="6">
        <f t="shared" si="1"/>
        <v>103.98044931765757</v>
      </c>
      <c r="F60" s="6">
        <f t="shared" si="1"/>
        <v>112.6145713647513</v>
      </c>
      <c r="G60" s="6">
        <f t="shared" si="1"/>
        <v>108.4197513752688</v>
      </c>
    </row>
    <row r="61" spans="1:7" x14ac:dyDescent="0.3">
      <c r="A61" s="4">
        <f>A62 / (1+ $J$1)</f>
        <v>4619.8006625744474</v>
      </c>
      <c r="B61" s="3">
        <f>IF($A61 &lt; $J$2, 1, 1 - ((($A61-$J$2)/($J$3-$J$2)) ^ J$4))</f>
        <v>0.73259271761684874</v>
      </c>
      <c r="C61" s="3">
        <f>IF($A61 &lt; $J$2, 1, 1 - ((($A61-$J$2)/($J$3-$J$2)) ^ K$4))</f>
        <v>0.62813960800403235</v>
      </c>
      <c r="D61" s="3">
        <f>IF($A61 &lt; $J$2, 1, 1 - ((($A61-$J$2)/($J$3-$J$2)) ^ L$4))</f>
        <v>0.48288561963222176</v>
      </c>
      <c r="E61" s="6">
        <f t="shared" si="1"/>
        <v>118.30405617654381</v>
      </c>
      <c r="F61" s="6">
        <f t="shared" si="1"/>
        <v>124.92580718245173</v>
      </c>
      <c r="G61" s="6">
        <f t="shared" si="1"/>
        <v>117.26680308749076</v>
      </c>
    </row>
    <row r="62" spans="1:7" x14ac:dyDescent="0.3">
      <c r="A62" s="4">
        <f>A63 / (1+ $J$1)</f>
        <v>4804.5926890774253</v>
      </c>
      <c r="B62" s="3">
        <f>IF($A62 &lt; $J$2, 1, 1 - ((($A62-$J$2)/($J$3-$J$2)) ^ J$4))</f>
        <v>0.7045933565350736</v>
      </c>
      <c r="C62" s="3">
        <f>IF($A62 &lt; $J$2, 1, 1 - ((($A62-$J$2)/($J$3-$J$2)) ^ K$4))</f>
        <v>0.59930382795661385</v>
      </c>
      <c r="D62" s="3">
        <f>IF($A62 &lt; $J$2, 1, 1 - ((($A62-$J$2)/($J$3-$J$2)) ^ L$4))</f>
        <v>0.45648675870322497</v>
      </c>
      <c r="E62" s="6">
        <f t="shared" si="1"/>
        <v>134.52552555233584</v>
      </c>
      <c r="F62" s="6">
        <f t="shared" si="1"/>
        <v>138.54417799967158</v>
      </c>
      <c r="G62" s="6">
        <f t="shared" si="1"/>
        <v>126.83577421942968</v>
      </c>
    </row>
    <row r="63" spans="1:7" x14ac:dyDescent="0.3">
      <c r="A63" s="4">
        <f>A64 / (1+ $J$1)</f>
        <v>4996.7763966405228</v>
      </c>
      <c r="B63" s="3">
        <f>IF($A63 &lt; $J$2, 1, 1 - ((($A63-$J$2)/($J$3-$J$2)) ^ J$4))</f>
        <v>0.67399547827055506</v>
      </c>
      <c r="C63" s="3">
        <f>IF($A63 &lt; $J$2, 1, 1 - ((($A63-$J$2)/($J$3-$J$2)) ^ K$4))</f>
        <v>0.56856267171790797</v>
      </c>
      <c r="D63" s="3">
        <f>IF($A63 &lt; $J$2, 1, 1 - ((($A63-$J$2)/($J$3-$J$2)) ^ L$4))</f>
        <v>0.42903194333706818</v>
      </c>
      <c r="E63" s="6">
        <f t="shared" si="1"/>
        <v>152.89075589942632</v>
      </c>
      <c r="F63" s="6">
        <f t="shared" si="1"/>
        <v>153.60668389900408</v>
      </c>
      <c r="G63" s="6">
        <f t="shared" si="1"/>
        <v>137.18557339573579</v>
      </c>
    </row>
    <row r="64" spans="1:7" x14ac:dyDescent="0.3">
      <c r="A64" s="4">
        <f>A65 / (1+ $J$1)</f>
        <v>5196.647452506144</v>
      </c>
      <c r="B64" s="3">
        <f>IF($A64 &lt; $J$2, 1, 1 - ((($A64-$J$2)/($J$3-$J$2)) ^ J$4))</f>
        <v>0.64057449304844272</v>
      </c>
      <c r="C64" s="3">
        <f>IF($A64 &lt; $J$2, 1, 1 - ((($A64-$J$2)/($J$3-$J$2)) ^ K$4))</f>
        <v>0.53579835999028202</v>
      </c>
      <c r="D64" s="3">
        <f>IF($A64 &lt; $J$2, 1, 1 - ((($A64-$J$2)/($J$3-$J$2)) ^ L$4))</f>
        <v>0.40047893535626511</v>
      </c>
      <c r="E64" s="6">
        <f t="shared" si="1"/>
        <v>173.67707771473559</v>
      </c>
      <c r="F64" s="6">
        <f t="shared" si="1"/>
        <v>170.26457707248457</v>
      </c>
      <c r="G64" s="6">
        <f t="shared" si="1"/>
        <v>148.37991618482786</v>
      </c>
    </row>
    <row r="65" spans="1:7" x14ac:dyDescent="0.3">
      <c r="A65" s="4">
        <f>A66 / (1+ $J$1)</f>
        <v>5404.5133506063903</v>
      </c>
      <c r="B65" s="3">
        <f>IF($A65 &lt; $J$2, 1, 1 - ((($A65-$J$2)/($J$3-$J$2)) ^ J$4))</f>
        <v>0.60408698253734827</v>
      </c>
      <c r="C65" s="3">
        <f>IF($A65 &lt; $J$2, 1, 1 - ((($A65-$J$2)/($J$3-$J$2)) ^ K$4))</f>
        <v>0.5008859032398203</v>
      </c>
      <c r="D65" s="3">
        <f>IF($A65 &lt; $J$2, 1, 1 - ((($A65-$J$2)/($J$3-$J$2)) ^ L$4))</f>
        <v>0.37078380705622993</v>
      </c>
      <c r="E65" s="6">
        <f t="shared" si="1"/>
        <v>197.19723768760093</v>
      </c>
      <c r="F65" s="6">
        <f t="shared" si="1"/>
        <v>188.6848386103386</v>
      </c>
      <c r="G65" s="6">
        <f t="shared" si="1"/>
        <v>160.48771734550976</v>
      </c>
    </row>
    <row r="66" spans="1:7" x14ac:dyDescent="0.3">
      <c r="A66" s="4">
        <f>A67 / (1+ $J$1)</f>
        <v>5620.6938846306457</v>
      </c>
      <c r="B66" s="3">
        <f>IF($A66 &lt; $J$2, 1, 1 - ((($A66-$J$2)/($J$3-$J$2)) ^ J$4))</f>
        <v>0.56426914335789702</v>
      </c>
      <c r="C66" s="3">
        <f>IF($A66 &lt; $J$2, 1, 1 - ((($A66-$J$2)/($J$3-$J$2)) ^ K$4))</f>
        <v>0.46369266478591409</v>
      </c>
      <c r="D66" s="3">
        <f>IF($A66 &lt; $J$2, 1, 1 - ((($A66-$J$2)/($J$3-$J$2)) ^ L$4))</f>
        <v>0.33990087362419352</v>
      </c>
      <c r="E66" s="6">
        <f t="shared" si="1"/>
        <v>223.8038851751482</v>
      </c>
      <c r="F66" s="6">
        <f t="shared" si="1"/>
        <v>209.05180792747998</v>
      </c>
      <c r="G66" s="6">
        <f t="shared" si="1"/>
        <v>173.58351508090234</v>
      </c>
    </row>
    <row r="67" spans="1:7" x14ac:dyDescent="0.3">
      <c r="A67" s="4">
        <f>A68 / (1+ $J$1)</f>
        <v>5845.5216400158715</v>
      </c>
      <c r="B67" s="3">
        <f>IF($A67 &lt; $J$2, 1, 1 - ((($A67-$J$2)/($J$3-$J$2)) ^ J$4))</f>
        <v>0.52083510277832445</v>
      </c>
      <c r="C67" s="3">
        <f>IF($A67 &lt; $J$2, 1, 1 - ((($A67-$J$2)/($J$3-$J$2)) ^ K$4))</f>
        <v>0.42407789730311496</v>
      </c>
      <c r="D67" s="3">
        <f>IF($A67 &lt; $J$2, 1, 1 - ((($A67-$J$2)/($J$3-$J$2)) ^ L$4))</f>
        <v>0.30778262285487545</v>
      </c>
      <c r="E67" s="6">
        <f t="shared" si="1"/>
        <v>253.89462412121892</v>
      </c>
      <c r="F67" s="6">
        <f t="shared" si="1"/>
        <v>231.56898058489938</v>
      </c>
      <c r="G67" s="6">
        <f t="shared" si="1"/>
        <v>187.7479299115052</v>
      </c>
    </row>
    <row r="68" spans="1:7" x14ac:dyDescent="0.3">
      <c r="A68" s="4">
        <f>A69 / (1+ $J$1)</f>
        <v>6079.342505616507</v>
      </c>
      <c r="B68" s="3">
        <f>IF($A68 &lt; $J$2, 1, 1 - ((($A68-$J$2)/($J$3-$J$2)) ^ J$4))</f>
        <v>0.47347509613545768</v>
      </c>
      <c r="C68" s="3">
        <f>IF($A68 &lt; $J$2, 1, 1 - ((($A68-$J$2)/($J$3-$J$2)) ^ K$4))</f>
        <v>0.38189225113313841</v>
      </c>
      <c r="D68" s="3">
        <f>IF($A68 &lt; $J$2, 1, 1 - ((($A68-$J$2)/($J$3-$J$2)) ^ L$4))</f>
        <v>0.27437964205478471</v>
      </c>
      <c r="E68" s="6">
        <f t="shared" ref="E68:G74" si="2">(B67-B68) * $A68</f>
        <v>287.9177014502601</v>
      </c>
      <c r="F68" s="6">
        <f t="shared" si="2"/>
        <v>256.46099188803669</v>
      </c>
      <c r="G68" s="6">
        <f t="shared" si="2"/>
        <v>203.06816099228374</v>
      </c>
    </row>
    <row r="69" spans="1:7" x14ac:dyDescent="0.3">
      <c r="A69" s="4">
        <f>A70 / (1+ $J$1)</f>
        <v>6322.516205841167</v>
      </c>
      <c r="B69" s="3">
        <f>IF($A69 &lt; $J$2, 1, 1 - ((($A69-$J$2)/($J$3-$J$2)) ^ J$4))</f>
        <v>0.4218534946644521</v>
      </c>
      <c r="C69" s="3">
        <f>IF($A69 &lt; $J$2, 1, 1 - ((($A69-$J$2)/($J$3-$J$2)) ^ K$4))</f>
        <v>0.33697725270665646</v>
      </c>
      <c r="D69" s="3">
        <f>IF($A69 &lt; $J$2, 1, 1 - ((($A69-$J$2)/($J$3-$J$2)) ^ L$4))</f>
        <v>0.23964054202269047</v>
      </c>
      <c r="E69" s="6">
        <f t="shared" si="2"/>
        <v>326.37841187190702</v>
      </c>
      <c r="F69" s="6">
        <f t="shared" si="2"/>
        <v>283.97580543676258</v>
      </c>
      <c r="G69" s="6">
        <f t="shared" si="2"/>
        <v>219.63852292925324</v>
      </c>
    </row>
    <row r="70" spans="1:7" x14ac:dyDescent="0.3">
      <c r="A70" s="4">
        <f>A71 / (1+ $J$1)</f>
        <v>6575.4168540748142</v>
      </c>
      <c r="B70" s="3">
        <f>IF($A70 &lt; $J$2, 1, 1 - ((($A70-$J$2)/($J$3-$J$2)) ^ J$4))</f>
        <v>0.36560667149588777</v>
      </c>
      <c r="C70" s="3">
        <f>IF($A70 &lt; $J$2, 1, 1 - ((($A70-$J$2)/($J$3-$J$2)) ^ K$4))</f>
        <v>0.28916475127048624</v>
      </c>
      <c r="D70" s="3">
        <f>IF($A70 &lt; $J$2, 1, 1 - ((($A70-$J$2)/($J$3-$J$2)) ^ L$4))</f>
        <v>0.20351187798931225</v>
      </c>
      <c r="E70" s="6">
        <f t="shared" si="2"/>
        <v>369.84630905074363</v>
      </c>
      <c r="F70" s="6">
        <f t="shared" si="2"/>
        <v>314.38712777886991</v>
      </c>
      <c r="G70" s="6">
        <f t="shared" si="2"/>
        <v>237.56102640028172</v>
      </c>
    </row>
    <row r="71" spans="1:7" x14ac:dyDescent="0.3">
      <c r="A71" s="4">
        <f>A72 / (1+ $J$1)</f>
        <v>6838.433528237807</v>
      </c>
      <c r="B71" s="3">
        <f>IF($A71 &lt; $J$2, 1, 1 - ((($A71-$J$2)/($J$3-$J$2)) ^ J$4))</f>
        <v>0.30434069257854357</v>
      </c>
      <c r="C71" s="3">
        <f>IF($A71 &lt; $J$2, 1, 1 - ((($A71-$J$2)/($J$3-$J$2)) ^ K$4))</f>
        <v>0.23827633200557918</v>
      </c>
      <c r="D71" s="3">
        <f>IF($A71 &lt; $J$2, 1, 1 - ((($A71-$J$2)/($J$3-$J$2)) ^ L$4))</f>
        <v>0.16593806739459904</v>
      </c>
      <c r="E71" s="6">
        <f t="shared" si="2"/>
        <v>418.96332436867721</v>
      </c>
      <c r="F71" s="6">
        <f t="shared" si="2"/>
        <v>347.99707250016314</v>
      </c>
      <c r="G71" s="6">
        <f t="shared" si="2"/>
        <v>256.94600615454374</v>
      </c>
    </row>
    <row r="72" spans="1:7" x14ac:dyDescent="0.3">
      <c r="A72" s="4">
        <f>A73 / (1+ $J$1)</f>
        <v>7111.9708693673192</v>
      </c>
      <c r="B72" s="3">
        <f>IF($A72 &lt; $J$2, 1, 1 - ((($A72-$J$2)/($J$3-$J$2)) ^ J$4))</f>
        <v>0.23762881820418968</v>
      </c>
      <c r="C72" s="3">
        <f>IF($A72 &lt; $J$2, 1, 1 - ((($A72-$J$2)/($J$3-$J$2)) ^ K$4))</f>
        <v>0.18412269350444177</v>
      </c>
      <c r="D72" s="3">
        <f>IF($A72 &lt; $J$2, 1, 1 - ((($A72-$J$2)/($J$3-$J$2)) ^ L$4))</f>
        <v>0.12686130437609722</v>
      </c>
      <c r="E72" s="6">
        <f t="shared" si="2"/>
        <v>474.45290719129702</v>
      </c>
      <c r="F72" s="6">
        <f t="shared" si="2"/>
        <v>385.1390994903378</v>
      </c>
      <c r="G72" s="6">
        <f t="shared" si="2"/>
        <v>277.91280025675513</v>
      </c>
    </row>
    <row r="73" spans="1:7" x14ac:dyDescent="0.3">
      <c r="A73" s="4">
        <f>A74 / (1+ $J$1)</f>
        <v>7396.4497041420118</v>
      </c>
      <c r="B73" s="3">
        <f>IF($A73 &lt; $J$2, 1, 1 - ((($A73-$J$2)/($J$3-$J$2)) ^ J$4))</f>
        <v>0.16500879964044024</v>
      </c>
      <c r="C73" s="3">
        <f>IF($A73 &lt; $J$2, 1, 1 - ((($A73-$J$2)/($J$3-$J$2)) ^ K$4))</f>
        <v>0.12650298745288946</v>
      </c>
      <c r="D73" s="3">
        <f>IF($A73 &lt; $J$2, 1, 1 - ((($A73-$J$2)/($J$3-$J$2)) ^ L$4))</f>
        <v>8.6221470836855496E-2</v>
      </c>
      <c r="E73" s="6">
        <f t="shared" si="2"/>
        <v>537.13031482063195</v>
      </c>
      <c r="F73" s="6">
        <f t="shared" si="2"/>
        <v>426.18125777775379</v>
      </c>
      <c r="G73" s="6">
        <f t="shared" si="2"/>
        <v>300.59048475770504</v>
      </c>
    </row>
    <row r="74" spans="1:7" x14ac:dyDescent="0.3">
      <c r="A74" s="4">
        <f>A75 / (1+ $J$1)</f>
        <v>7692.3076923076924</v>
      </c>
      <c r="B74" s="3">
        <f>IF($A74 &lt; $J$2, 1, 1 - ((($A74-$J$2)/($J$3-$J$2)) ^ J$4))</f>
        <v>8.5979954111822132E-2</v>
      </c>
      <c r="C74" s="3">
        <f>IF($A74 &lt; $J$2, 1, 1 - ((($A74-$J$2)/($J$3-$J$2)) ^ K$4))</f>
        <v>6.5204118229860941E-2</v>
      </c>
      <c r="D74" s="3">
        <f>IF($A74 &lt; $J$2, 1, 1 - ((($A74-$J$2)/($J$3-$J$2)) ^ L$4))</f>
        <v>4.3956043956043911E-2</v>
      </c>
      <c r="E74" s="6">
        <f t="shared" si="2"/>
        <v>607.91419637398542</v>
      </c>
      <c r="F74" s="6">
        <f t="shared" si="2"/>
        <v>471.52976325406553</v>
      </c>
      <c r="G74" s="6">
        <f t="shared" si="2"/>
        <v>325.11866831393525</v>
      </c>
    </row>
    <row r="75" spans="1:7" x14ac:dyDescent="0.3">
      <c r="A75" s="4">
        <f>$J$3</f>
        <v>8000</v>
      </c>
      <c r="B75" s="3">
        <f>IF($A75 &lt; $J$2, 1, 1 - ((($A75-$J$2)/($J$3-$J$2)) ^ J$4))</f>
        <v>0</v>
      </c>
      <c r="C75" s="3">
        <f>IF($A75 &lt; $J$2, 1, 1 - ((($A75-$J$2)/($J$3-$J$2)) ^ K$4))</f>
        <v>0</v>
      </c>
      <c r="D75" s="3">
        <f>IF($A75 &lt; $J$2, 1, 1 - ((($A75-$J$2)/($J$3-$J$2)) ^ L$4))</f>
        <v>0</v>
      </c>
      <c r="E75" s="6">
        <f>(B74-B75) * $A75</f>
        <v>687.83963289457711</v>
      </c>
      <c r="F75" s="6">
        <f>(C74-C75) * $A75</f>
        <v>521.63294583888751</v>
      </c>
      <c r="G75" s="6">
        <f>(D74-D75) * $A75</f>
        <v>351.64835164835131</v>
      </c>
    </row>
    <row r="76" spans="1:7" x14ac:dyDescent="0.3">
      <c r="A76" s="4"/>
      <c r="B76" s="3"/>
      <c r="C76" s="3"/>
      <c r="D76" s="3"/>
    </row>
    <row r="77" spans="1:7" x14ac:dyDescent="0.3">
      <c r="A77" s="4"/>
      <c r="B77" s="3"/>
      <c r="C77" s="3"/>
      <c r="D77" s="3"/>
    </row>
    <row r="78" spans="1:7" x14ac:dyDescent="0.3">
      <c r="A78" s="4"/>
      <c r="B78" s="3"/>
      <c r="C78" s="3"/>
      <c r="D78" s="3"/>
    </row>
    <row r="79" spans="1:7" x14ac:dyDescent="0.3">
      <c r="A79" s="4"/>
      <c r="B79" s="3"/>
      <c r="C79" s="3"/>
      <c r="D79" s="3"/>
    </row>
    <row r="80" spans="1:7" x14ac:dyDescent="0.3">
      <c r="A80" s="4"/>
      <c r="B80" s="3"/>
      <c r="C80" s="3"/>
      <c r="D80" s="3"/>
    </row>
    <row r="81" spans="1:4" x14ac:dyDescent="0.3">
      <c r="A81" s="4"/>
      <c r="B81" s="3"/>
      <c r="C81" s="3"/>
      <c r="D81" s="3"/>
    </row>
    <row r="82" spans="1:4" x14ac:dyDescent="0.3">
      <c r="A82" s="4"/>
      <c r="B82" s="3"/>
      <c r="C82" s="3"/>
      <c r="D82" s="3"/>
    </row>
    <row r="83" spans="1:4" x14ac:dyDescent="0.3">
      <c r="A83" s="4"/>
      <c r="B83" s="3"/>
      <c r="C83" s="3"/>
      <c r="D83" s="3"/>
    </row>
    <row r="84" spans="1:4" x14ac:dyDescent="0.3">
      <c r="A84" s="4"/>
      <c r="B84" s="3"/>
      <c r="C84" s="3"/>
      <c r="D84" s="3"/>
    </row>
    <row r="85" spans="1:4" x14ac:dyDescent="0.3">
      <c r="A85" s="4"/>
      <c r="B85" s="3"/>
      <c r="C85" s="3"/>
      <c r="D85" s="3"/>
    </row>
    <row r="86" spans="1:4" x14ac:dyDescent="0.3">
      <c r="A86" s="4"/>
      <c r="B86" s="3"/>
      <c r="C86" s="3"/>
      <c r="D86" s="3"/>
    </row>
    <row r="87" spans="1:4" x14ac:dyDescent="0.3">
      <c r="A87" s="4"/>
      <c r="B87" s="3"/>
      <c r="C87" s="3"/>
      <c r="D87" s="3"/>
    </row>
    <row r="88" spans="1:4" x14ac:dyDescent="0.3">
      <c r="A88" s="4"/>
      <c r="B88" s="3"/>
      <c r="C88" s="3"/>
      <c r="D88" s="3"/>
    </row>
    <row r="89" spans="1:4" x14ac:dyDescent="0.3">
      <c r="A89" s="4"/>
      <c r="B89" s="3"/>
      <c r="C89" s="3"/>
      <c r="D89" s="3"/>
    </row>
    <row r="90" spans="1:4" x14ac:dyDescent="0.3">
      <c r="A90" s="4"/>
      <c r="B90" s="3"/>
      <c r="C90" s="3"/>
      <c r="D90" s="3"/>
    </row>
    <row r="91" spans="1:4" x14ac:dyDescent="0.3">
      <c r="A91" s="4"/>
      <c r="B91" s="3"/>
      <c r="C91" s="3"/>
      <c r="D91" s="3"/>
    </row>
    <row r="92" spans="1:4" x14ac:dyDescent="0.3">
      <c r="A92" s="4"/>
      <c r="B92" s="3"/>
      <c r="C92" s="3"/>
      <c r="D92" s="3"/>
    </row>
    <row r="93" spans="1:4" x14ac:dyDescent="0.3">
      <c r="A93" s="4"/>
      <c r="B93" s="3"/>
      <c r="C93" s="3"/>
      <c r="D93" s="3"/>
    </row>
    <row r="94" spans="1:4" x14ac:dyDescent="0.3">
      <c r="A94" s="4"/>
      <c r="B94" s="3"/>
      <c r="C94" s="3"/>
      <c r="D94" s="3"/>
    </row>
    <row r="95" spans="1:4" x14ac:dyDescent="0.3">
      <c r="A95" s="4"/>
      <c r="B95" s="3"/>
      <c r="C95" s="3"/>
      <c r="D95" s="3"/>
    </row>
    <row r="96" spans="1:4" x14ac:dyDescent="0.3">
      <c r="A96" s="4"/>
      <c r="B96" s="3"/>
      <c r="C96" s="3"/>
      <c r="D96" s="3"/>
    </row>
    <row r="97" spans="1:4" x14ac:dyDescent="0.3">
      <c r="A97" s="4"/>
      <c r="B97" s="3"/>
      <c r="C97" s="3"/>
      <c r="D97" s="3"/>
    </row>
    <row r="98" spans="1:4" x14ac:dyDescent="0.3">
      <c r="A98" s="4"/>
      <c r="B98" s="3"/>
      <c r="C98" s="3"/>
      <c r="D98" s="3"/>
    </row>
    <row r="99" spans="1:4" x14ac:dyDescent="0.3">
      <c r="A99" s="4"/>
      <c r="B99" s="3"/>
      <c r="C99" s="3"/>
      <c r="D99" s="3"/>
    </row>
    <row r="100" spans="1:4" x14ac:dyDescent="0.3">
      <c r="A100" s="4"/>
      <c r="B100" s="3"/>
      <c r="C100" s="3"/>
      <c r="D100" s="3"/>
    </row>
    <row r="101" spans="1:4" x14ac:dyDescent="0.3">
      <c r="A101" s="4"/>
      <c r="B101" s="3"/>
      <c r="C101" s="3"/>
      <c r="D101" s="3"/>
    </row>
    <row r="102" spans="1:4" x14ac:dyDescent="0.3">
      <c r="A102" s="4"/>
      <c r="B102" s="3"/>
      <c r="C102" s="3"/>
      <c r="D102" s="3"/>
    </row>
    <row r="103" spans="1:4" x14ac:dyDescent="0.3">
      <c r="A103" s="4"/>
      <c r="B103" s="3"/>
      <c r="C103" s="3"/>
      <c r="D103" s="3"/>
    </row>
    <row r="104" spans="1:4" x14ac:dyDescent="0.3">
      <c r="A104" s="4"/>
      <c r="B104" s="3"/>
      <c r="C104" s="3"/>
      <c r="D104" s="3"/>
    </row>
    <row r="105" spans="1:4" x14ac:dyDescent="0.3">
      <c r="A105" s="4"/>
      <c r="B105" s="3"/>
      <c r="C105" s="3"/>
      <c r="D105" s="3"/>
    </row>
    <row r="106" spans="1:4" x14ac:dyDescent="0.3">
      <c r="A106" s="4"/>
      <c r="B106" s="3"/>
      <c r="C106" s="3"/>
      <c r="D106" s="3"/>
    </row>
    <row r="107" spans="1:4" x14ac:dyDescent="0.3">
      <c r="A107" s="4"/>
      <c r="B107" s="3"/>
      <c r="C107" s="3"/>
      <c r="D107" s="3"/>
    </row>
    <row r="108" spans="1:4" x14ac:dyDescent="0.3">
      <c r="A108" s="4"/>
      <c r="B108" s="3"/>
      <c r="C108" s="3"/>
      <c r="D108" s="3"/>
    </row>
    <row r="109" spans="1:4" x14ac:dyDescent="0.3">
      <c r="A109" s="4"/>
      <c r="B109" s="3"/>
      <c r="C109" s="3"/>
      <c r="D109" s="3"/>
    </row>
    <row r="110" spans="1:4" x14ac:dyDescent="0.3">
      <c r="A110" s="4"/>
      <c r="B110" s="3"/>
      <c r="C110" s="3"/>
      <c r="D110" s="3"/>
    </row>
    <row r="111" spans="1:4" x14ac:dyDescent="0.3">
      <c r="A111" s="4"/>
      <c r="B111" s="3"/>
      <c r="C111" s="3"/>
      <c r="D111" s="3"/>
    </row>
    <row r="112" spans="1:4" x14ac:dyDescent="0.3">
      <c r="A112" s="4"/>
      <c r="B112" s="3"/>
      <c r="C112" s="3"/>
      <c r="D112" s="3"/>
    </row>
    <row r="113" spans="1:4" x14ac:dyDescent="0.3">
      <c r="A113" s="4"/>
      <c r="B113" s="3"/>
      <c r="C113" s="3"/>
      <c r="D113" s="3"/>
    </row>
    <row r="114" spans="1:4" x14ac:dyDescent="0.3">
      <c r="A114" s="4"/>
      <c r="B114" s="3"/>
      <c r="C114" s="3"/>
      <c r="D114" s="3"/>
    </row>
    <row r="115" spans="1:4" x14ac:dyDescent="0.3">
      <c r="A115" s="4"/>
      <c r="B115" s="3"/>
      <c r="C115" s="3"/>
      <c r="D115" s="3"/>
    </row>
    <row r="116" spans="1:4" x14ac:dyDescent="0.3">
      <c r="A116" s="4"/>
      <c r="B116" s="3"/>
      <c r="C116" s="3"/>
      <c r="D116" s="3"/>
    </row>
    <row r="117" spans="1:4" x14ac:dyDescent="0.3">
      <c r="A117" s="4"/>
      <c r="B117" s="3"/>
      <c r="C117" s="3"/>
      <c r="D117" s="3"/>
    </row>
    <row r="118" spans="1:4" x14ac:dyDescent="0.3">
      <c r="A118" s="4"/>
      <c r="B118" s="3"/>
      <c r="C118" s="3"/>
      <c r="D118" s="3"/>
    </row>
    <row r="119" spans="1:4" x14ac:dyDescent="0.3">
      <c r="A119" s="4"/>
      <c r="B119" s="3"/>
      <c r="C119" s="3"/>
      <c r="D119" s="3"/>
    </row>
    <row r="120" spans="1:4" x14ac:dyDescent="0.3">
      <c r="A120" s="4"/>
      <c r="B120" s="3"/>
      <c r="C120" s="3"/>
      <c r="D120" s="3"/>
    </row>
    <row r="121" spans="1:4" x14ac:dyDescent="0.3">
      <c r="A121" s="4"/>
      <c r="B121" s="3"/>
      <c r="C121" s="3"/>
      <c r="D121" s="3"/>
    </row>
    <row r="122" spans="1:4" x14ac:dyDescent="0.3">
      <c r="A122" s="4"/>
      <c r="B122" s="3"/>
      <c r="C122" s="3"/>
      <c r="D122" s="3"/>
    </row>
    <row r="123" spans="1:4" x14ac:dyDescent="0.3">
      <c r="A123" s="4"/>
      <c r="B123" s="3"/>
      <c r="C123" s="3"/>
      <c r="D123" s="3"/>
    </row>
    <row r="124" spans="1:4" x14ac:dyDescent="0.3">
      <c r="A124" s="4"/>
      <c r="B124" s="3"/>
      <c r="C124" s="3"/>
      <c r="D124" s="3"/>
    </row>
    <row r="125" spans="1:4" x14ac:dyDescent="0.3">
      <c r="A125" s="4"/>
      <c r="B125" s="3"/>
      <c r="C125" s="3"/>
      <c r="D125" s="3"/>
    </row>
    <row r="126" spans="1:4" x14ac:dyDescent="0.3">
      <c r="A126" s="4"/>
      <c r="B126" s="3"/>
      <c r="C126" s="3"/>
      <c r="D126" s="3"/>
    </row>
    <row r="127" spans="1:4" x14ac:dyDescent="0.3">
      <c r="A127" s="4"/>
      <c r="B127" s="3"/>
      <c r="C127" s="3"/>
      <c r="D127" s="3"/>
    </row>
    <row r="128" spans="1:4" x14ac:dyDescent="0.3">
      <c r="A128" s="4"/>
      <c r="B128" s="3"/>
      <c r="C128" s="3"/>
      <c r="D128" s="3"/>
    </row>
    <row r="129" spans="1:4" x14ac:dyDescent="0.3">
      <c r="A129" s="4"/>
      <c r="B129" s="3"/>
      <c r="C129" s="3"/>
      <c r="D129" s="3"/>
    </row>
    <row r="130" spans="1:4" x14ac:dyDescent="0.3">
      <c r="A130" s="4"/>
      <c r="B130" s="3"/>
      <c r="C130" s="3"/>
      <c r="D130" s="3"/>
    </row>
    <row r="131" spans="1:4" x14ac:dyDescent="0.3">
      <c r="A131" s="4"/>
      <c r="B131" s="3"/>
      <c r="C131" s="3"/>
      <c r="D131" s="3"/>
    </row>
    <row r="132" spans="1:4" x14ac:dyDescent="0.3">
      <c r="A132" s="4"/>
      <c r="B132" s="3"/>
      <c r="C132" s="3"/>
      <c r="D132" s="3"/>
    </row>
    <row r="133" spans="1:4" x14ac:dyDescent="0.3">
      <c r="A133" s="4"/>
      <c r="B133" s="3"/>
      <c r="C133" s="3"/>
      <c r="D133" s="3"/>
    </row>
    <row r="134" spans="1:4" x14ac:dyDescent="0.3">
      <c r="A134" s="4"/>
      <c r="B134" s="3"/>
      <c r="C134" s="3"/>
      <c r="D134" s="3"/>
    </row>
    <row r="135" spans="1:4" x14ac:dyDescent="0.3">
      <c r="A135" s="4"/>
      <c r="B135" s="3"/>
      <c r="C135" s="3"/>
      <c r="D135" s="3"/>
    </row>
    <row r="136" spans="1:4" x14ac:dyDescent="0.3">
      <c r="A136" s="4"/>
      <c r="B136" s="3"/>
      <c r="C136" s="3"/>
      <c r="D136" s="3"/>
    </row>
    <row r="137" spans="1:4" x14ac:dyDescent="0.3">
      <c r="A137" s="4"/>
      <c r="B137" s="3"/>
      <c r="C137" s="3"/>
      <c r="D137" s="3"/>
    </row>
    <row r="138" spans="1:4" x14ac:dyDescent="0.3">
      <c r="A138" s="4"/>
      <c r="B138" s="3"/>
      <c r="C138" s="3"/>
      <c r="D138" s="3"/>
    </row>
    <row r="139" spans="1:4" x14ac:dyDescent="0.3">
      <c r="A139" s="4"/>
      <c r="B139" s="3"/>
      <c r="C139" s="3"/>
      <c r="D139" s="3"/>
    </row>
    <row r="140" spans="1:4" x14ac:dyDescent="0.3">
      <c r="A140" s="4"/>
      <c r="B140" s="3"/>
      <c r="C140" s="3"/>
      <c r="D140" s="3"/>
    </row>
    <row r="141" spans="1:4" x14ac:dyDescent="0.3">
      <c r="A141" s="4"/>
      <c r="B141" s="3"/>
      <c r="C141" s="3"/>
      <c r="D141" s="3"/>
    </row>
    <row r="142" spans="1:4" x14ac:dyDescent="0.3">
      <c r="A142" s="4"/>
      <c r="B142" s="3"/>
      <c r="C142" s="3"/>
      <c r="D142" s="3"/>
    </row>
  </sheetData>
  <mergeCells count="1">
    <mergeCell ref="B1:D1"/>
  </mergeCells>
  <conditionalFormatting sqref="O2:Q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0:Q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Balancing (8k)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Gorny</dc:creator>
  <cp:lastModifiedBy>Aidan Gorny</cp:lastModifiedBy>
  <dcterms:created xsi:type="dcterms:W3CDTF">2024-08-01T01:51:02Z</dcterms:created>
  <dcterms:modified xsi:type="dcterms:W3CDTF">2026-09-19T07:01:27Z</dcterms:modified>
</cp:coreProperties>
</file>